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yvee\Documents\"/>
    </mc:Choice>
  </mc:AlternateContent>
  <xr:revisionPtr revIDLastSave="0" documentId="13_ncr:1_{A857D835-E30C-41AD-AB95-95C02165D162}" xr6:coauthVersionLast="47" xr6:coauthVersionMax="47" xr10:uidLastSave="{00000000-0000-0000-0000-000000000000}"/>
  <bookViews>
    <workbookView xWindow="-108" yWindow="-108" windowWidth="23256" windowHeight="12456" xr2:uid="{0509844E-B0DE-45E6-99A6-D7BE49A7F3C4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7" i="1" l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BU105" i="1"/>
  <c r="C114" i="1" s="1"/>
  <c r="BS105" i="1"/>
  <c r="BQ105" i="1"/>
  <c r="BO105" i="1"/>
  <c r="BM105" i="1"/>
  <c r="BK105" i="1"/>
  <c r="BI105" i="1"/>
  <c r="BG105" i="1"/>
  <c r="BE105" i="1"/>
  <c r="BC105" i="1"/>
  <c r="BA105" i="1"/>
  <c r="AY105" i="1"/>
  <c r="AW105" i="1"/>
  <c r="AU105" i="1"/>
  <c r="AS105" i="1"/>
  <c r="AQ105" i="1"/>
  <c r="AO105" i="1"/>
  <c r="AM105" i="1"/>
  <c r="AK105" i="1"/>
  <c r="AI105" i="1"/>
  <c r="AG105" i="1"/>
  <c r="AE105" i="1"/>
  <c r="AC105" i="1"/>
  <c r="AA105" i="1"/>
  <c r="Y105" i="1"/>
  <c r="W105" i="1"/>
  <c r="U105" i="1"/>
  <c r="P105" i="1"/>
  <c r="O105" i="1"/>
  <c r="N105" i="1"/>
  <c r="M105" i="1"/>
  <c r="K105" i="1"/>
  <c r="J105" i="1"/>
  <c r="I105" i="1"/>
  <c r="T104" i="1"/>
  <c r="S104" i="1"/>
  <c r="R104" i="1"/>
  <c r="L104" i="1"/>
  <c r="G104" i="1"/>
  <c r="H104" i="1" s="1"/>
  <c r="F104" i="1"/>
  <c r="E104" i="1"/>
  <c r="T103" i="1"/>
  <c r="S103" i="1"/>
  <c r="F103" i="1"/>
  <c r="G103" i="1" s="1"/>
  <c r="H103" i="1" s="1"/>
  <c r="E103" i="1"/>
  <c r="T102" i="1"/>
  <c r="S102" i="1"/>
  <c r="F102" i="1"/>
  <c r="L102" i="1" s="1"/>
  <c r="R102" i="1" s="1"/>
  <c r="E102" i="1"/>
  <c r="BR101" i="1"/>
  <c r="BP101" i="1"/>
  <c r="BN101" i="1"/>
  <c r="BJ101" i="1"/>
  <c r="BH101" i="1"/>
  <c r="BF101" i="1"/>
  <c r="BB101" i="1"/>
  <c r="AZ101" i="1"/>
  <c r="AX101" i="1"/>
  <c r="AT101" i="1"/>
  <c r="AR101" i="1"/>
  <c r="AP101" i="1"/>
  <c r="AJ101" i="1"/>
  <c r="AH101" i="1"/>
  <c r="AD101" i="1"/>
  <c r="AB101" i="1"/>
  <c r="Z101" i="1"/>
  <c r="V101" i="1"/>
  <c r="T101" i="1"/>
  <c r="S101" i="1"/>
  <c r="R101" i="1"/>
  <c r="Q101" i="1"/>
  <c r="H101" i="1"/>
  <c r="F101" i="1"/>
  <c r="E101" i="1"/>
  <c r="BW100" i="1"/>
  <c r="BV100" i="1"/>
  <c r="BR100" i="1"/>
  <c r="BP100" i="1"/>
  <c r="AL100" i="1"/>
  <c r="AJ100" i="1"/>
  <c r="AH100" i="1"/>
  <c r="AB100" i="1"/>
  <c r="Z100" i="1"/>
  <c r="T100" i="1"/>
  <c r="S100" i="1"/>
  <c r="L100" i="1"/>
  <c r="R100" i="1" s="1"/>
  <c r="G100" i="1"/>
  <c r="H100" i="1" s="1"/>
  <c r="F100" i="1"/>
  <c r="E100" i="1"/>
  <c r="T99" i="1"/>
  <c r="S99" i="1"/>
  <c r="F99" i="1"/>
  <c r="L99" i="1" s="1"/>
  <c r="R99" i="1" s="1"/>
  <c r="E99" i="1"/>
  <c r="BN98" i="1"/>
  <c r="BB98" i="1"/>
  <c r="AZ98" i="1"/>
  <c r="AJ98" i="1"/>
  <c r="AH98" i="1"/>
  <c r="AF98" i="1"/>
  <c r="AD98" i="1"/>
  <c r="AB98" i="1"/>
  <c r="Z98" i="1"/>
  <c r="T98" i="1"/>
  <c r="S98" i="1"/>
  <c r="G98" i="1"/>
  <c r="H98" i="1" s="1"/>
  <c r="F98" i="1"/>
  <c r="L98" i="1" s="1"/>
  <c r="R98" i="1" s="1"/>
  <c r="E98" i="1"/>
  <c r="T97" i="1"/>
  <c r="S97" i="1"/>
  <c r="F97" i="1"/>
  <c r="L97" i="1" s="1"/>
  <c r="R97" i="1" s="1"/>
  <c r="E97" i="1"/>
  <c r="T96" i="1"/>
  <c r="S96" i="1"/>
  <c r="L96" i="1"/>
  <c r="R96" i="1" s="1"/>
  <c r="G96" i="1"/>
  <c r="H96" i="1" s="1"/>
  <c r="F96" i="1"/>
  <c r="E96" i="1"/>
  <c r="T95" i="1"/>
  <c r="S95" i="1"/>
  <c r="R95" i="1"/>
  <c r="G95" i="1"/>
  <c r="H95" i="1" s="1"/>
  <c r="F95" i="1"/>
  <c r="L95" i="1" s="1"/>
  <c r="E95" i="1"/>
  <c r="T94" i="1"/>
  <c r="S94" i="1"/>
  <c r="G94" i="1"/>
  <c r="H94" i="1" s="1"/>
  <c r="F94" i="1"/>
  <c r="L94" i="1" s="1"/>
  <c r="R94" i="1" s="1"/>
  <c r="E94" i="1"/>
  <c r="BR93" i="1"/>
  <c r="BH93" i="1"/>
  <c r="BF93" i="1"/>
  <c r="AT93" i="1"/>
  <c r="AD93" i="1"/>
  <c r="AB93" i="1"/>
  <c r="Z93" i="1"/>
  <c r="V93" i="1"/>
  <c r="T93" i="1"/>
  <c r="S93" i="1"/>
  <c r="R93" i="1"/>
  <c r="Q93" i="1"/>
  <c r="G93" i="1"/>
  <c r="H93" i="1" s="1"/>
  <c r="AX93" i="1" s="1"/>
  <c r="F93" i="1"/>
  <c r="L93" i="1" s="1"/>
  <c r="E93" i="1"/>
  <c r="BR92" i="1"/>
  <c r="BP92" i="1"/>
  <c r="BN92" i="1"/>
  <c r="BL92" i="1"/>
  <c r="BJ92" i="1"/>
  <c r="BH92" i="1"/>
  <c r="BB92" i="1"/>
  <c r="AZ92" i="1"/>
  <c r="AX92" i="1"/>
  <c r="AT92" i="1"/>
  <c r="AR92" i="1"/>
  <c r="AL92" i="1"/>
  <c r="AJ92" i="1"/>
  <c r="AH92" i="1"/>
  <c r="AB92" i="1"/>
  <c r="Z92" i="1"/>
  <c r="V92" i="1"/>
  <c r="T92" i="1"/>
  <c r="S92" i="1"/>
  <c r="R92" i="1"/>
  <c r="Q92" i="1"/>
  <c r="H92" i="1"/>
  <c r="F92" i="1"/>
  <c r="E92" i="1"/>
  <c r="BD91" i="1"/>
  <c r="BB91" i="1"/>
  <c r="AP91" i="1"/>
  <c r="T91" i="1"/>
  <c r="S91" i="1"/>
  <c r="L91" i="1"/>
  <c r="R91" i="1" s="1"/>
  <c r="G91" i="1"/>
  <c r="H91" i="1" s="1"/>
  <c r="F91" i="1"/>
  <c r="E91" i="1"/>
  <c r="AX90" i="1"/>
  <c r="T90" i="1"/>
  <c r="S90" i="1"/>
  <c r="L90" i="1"/>
  <c r="R90" i="1" s="1"/>
  <c r="G90" i="1"/>
  <c r="H90" i="1" s="1"/>
  <c r="F90" i="1"/>
  <c r="E90" i="1"/>
  <c r="T89" i="1"/>
  <c r="S89" i="1"/>
  <c r="F89" i="1"/>
  <c r="E89" i="1"/>
  <c r="AX88" i="1"/>
  <c r="AT88" i="1"/>
  <c r="AP88" i="1"/>
  <c r="AJ88" i="1"/>
  <c r="AD88" i="1"/>
  <c r="AB88" i="1"/>
  <c r="V88" i="1"/>
  <c r="T88" i="1"/>
  <c r="S88" i="1"/>
  <c r="F88" i="1"/>
  <c r="G88" i="1" s="1"/>
  <c r="H88" i="1" s="1"/>
  <c r="BR88" i="1" s="1"/>
  <c r="E88" i="1"/>
  <c r="BT87" i="1"/>
  <c r="BL87" i="1"/>
  <c r="BJ87" i="1"/>
  <c r="BH87" i="1"/>
  <c r="BF87" i="1"/>
  <c r="AZ87" i="1"/>
  <c r="AX87" i="1"/>
  <c r="AT87" i="1"/>
  <c r="AP87" i="1"/>
  <c r="AH87" i="1"/>
  <c r="AF87" i="1"/>
  <c r="Z87" i="1"/>
  <c r="X87" i="1"/>
  <c r="V87" i="1"/>
  <c r="T87" i="1"/>
  <c r="S87" i="1"/>
  <c r="R87" i="1"/>
  <c r="Q87" i="1"/>
  <c r="L87" i="1"/>
  <c r="H87" i="1"/>
  <c r="BN87" i="1" s="1"/>
  <c r="G87" i="1"/>
  <c r="F87" i="1"/>
  <c r="E87" i="1"/>
  <c r="T86" i="1"/>
  <c r="S86" i="1"/>
  <c r="F86" i="1"/>
  <c r="E86" i="1"/>
  <c r="BR85" i="1"/>
  <c r="BF85" i="1"/>
  <c r="AR85" i="1"/>
  <c r="AP85" i="1"/>
  <c r="AF85" i="1"/>
  <c r="AD85" i="1"/>
  <c r="AB85" i="1"/>
  <c r="Z85" i="1"/>
  <c r="T85" i="1"/>
  <c r="S85" i="1"/>
  <c r="F85" i="1"/>
  <c r="G85" i="1" s="1"/>
  <c r="H85" i="1" s="1"/>
  <c r="E85" i="1"/>
  <c r="BJ84" i="1"/>
  <c r="T84" i="1"/>
  <c r="S84" i="1"/>
  <c r="R84" i="1"/>
  <c r="H84" i="1"/>
  <c r="F84" i="1"/>
  <c r="E84" i="1"/>
  <c r="T83" i="1"/>
  <c r="S83" i="1"/>
  <c r="L83" i="1"/>
  <c r="R83" i="1" s="1"/>
  <c r="F83" i="1"/>
  <c r="G83" i="1" s="1"/>
  <c r="H83" i="1" s="1"/>
  <c r="E83" i="1"/>
  <c r="BN82" i="1"/>
  <c r="BJ82" i="1"/>
  <c r="BH82" i="1"/>
  <c r="AT82" i="1"/>
  <c r="AD82" i="1"/>
  <c r="X82" i="1"/>
  <c r="T82" i="1"/>
  <c r="S82" i="1"/>
  <c r="L82" i="1"/>
  <c r="R82" i="1" s="1"/>
  <c r="G82" i="1"/>
  <c r="H82" i="1" s="1"/>
  <c r="BT82" i="1" s="1"/>
  <c r="F82" i="1"/>
  <c r="E82" i="1"/>
  <c r="BR81" i="1"/>
  <c r="BN81" i="1"/>
  <c r="BH81" i="1"/>
  <c r="BF81" i="1"/>
  <c r="BD81" i="1"/>
  <c r="AP81" i="1"/>
  <c r="AL81" i="1"/>
  <c r="AJ81" i="1"/>
  <c r="AH81" i="1"/>
  <c r="AB81" i="1"/>
  <c r="Z81" i="1"/>
  <c r="T81" i="1"/>
  <c r="S81" i="1"/>
  <c r="R81" i="1"/>
  <c r="H81" i="1"/>
  <c r="F81" i="1"/>
  <c r="E81" i="1"/>
  <c r="T80" i="1"/>
  <c r="S80" i="1"/>
  <c r="F80" i="1"/>
  <c r="L80" i="1" s="1"/>
  <c r="R80" i="1" s="1"/>
  <c r="E80" i="1"/>
  <c r="T79" i="1"/>
  <c r="S79" i="1"/>
  <c r="L79" i="1"/>
  <c r="R79" i="1" s="1"/>
  <c r="H79" i="1"/>
  <c r="BD79" i="1" s="1"/>
  <c r="F79" i="1"/>
  <c r="G79" i="1" s="1"/>
  <c r="E79" i="1"/>
  <c r="BP78" i="1"/>
  <c r="AX78" i="1"/>
  <c r="AP78" i="1"/>
  <c r="AL78" i="1"/>
  <c r="AJ78" i="1"/>
  <c r="AD78" i="1"/>
  <c r="X78" i="1"/>
  <c r="V78" i="1"/>
  <c r="T78" i="1"/>
  <c r="S78" i="1"/>
  <c r="R78" i="1"/>
  <c r="H78" i="1"/>
  <c r="BJ78" i="1" s="1"/>
  <c r="F78" i="1"/>
  <c r="E78" i="1"/>
  <c r="T77" i="1"/>
  <c r="S77" i="1"/>
  <c r="R77" i="1"/>
  <c r="F77" i="1"/>
  <c r="L77" i="1" s="1"/>
  <c r="E77" i="1"/>
  <c r="BJ76" i="1"/>
  <c r="BB76" i="1"/>
  <c r="AZ76" i="1"/>
  <c r="AX76" i="1"/>
  <c r="AT76" i="1"/>
  <c r="T76" i="1"/>
  <c r="S76" i="1"/>
  <c r="R76" i="1"/>
  <c r="G76" i="1"/>
  <c r="H76" i="1" s="1"/>
  <c r="F76" i="1"/>
  <c r="L76" i="1" s="1"/>
  <c r="E76" i="1"/>
  <c r="BT75" i="1"/>
  <c r="BR75" i="1"/>
  <c r="BB75" i="1"/>
  <c r="T75" i="1"/>
  <c r="S75" i="1"/>
  <c r="R75" i="1"/>
  <c r="L75" i="1"/>
  <c r="F75" i="1"/>
  <c r="G75" i="1" s="1"/>
  <c r="H75" i="1" s="1"/>
  <c r="E75" i="1"/>
  <c r="BT74" i="1"/>
  <c r="BH74" i="1"/>
  <c r="BF74" i="1"/>
  <c r="AZ74" i="1"/>
  <c r="AX74" i="1"/>
  <c r="AH74" i="1"/>
  <c r="AB74" i="1"/>
  <c r="V74" i="1"/>
  <c r="T74" i="1"/>
  <c r="S74" i="1"/>
  <c r="L74" i="1"/>
  <c r="R74" i="1" s="1"/>
  <c r="H74" i="1"/>
  <c r="BP74" i="1" s="1"/>
  <c r="F74" i="1"/>
  <c r="G74" i="1" s="1"/>
  <c r="E74" i="1"/>
  <c r="T73" i="1"/>
  <c r="S73" i="1"/>
  <c r="F73" i="1"/>
  <c r="L73" i="1" s="1"/>
  <c r="R73" i="1" s="1"/>
  <c r="E73" i="1"/>
  <c r="T72" i="1"/>
  <c r="S72" i="1"/>
  <c r="F72" i="1"/>
  <c r="E72" i="1"/>
  <c r="T71" i="1"/>
  <c r="S71" i="1"/>
  <c r="L71" i="1"/>
  <c r="R71" i="1" s="1"/>
  <c r="G71" i="1"/>
  <c r="H71" i="1" s="1"/>
  <c r="BB71" i="1" s="1"/>
  <c r="F71" i="1"/>
  <c r="E71" i="1"/>
  <c r="T70" i="1"/>
  <c r="S70" i="1"/>
  <c r="F70" i="1"/>
  <c r="E70" i="1"/>
  <c r="T69" i="1"/>
  <c r="S69" i="1"/>
  <c r="F69" i="1"/>
  <c r="E69" i="1"/>
  <c r="T68" i="1"/>
  <c r="S68" i="1"/>
  <c r="R68" i="1"/>
  <c r="F68" i="1"/>
  <c r="L68" i="1" s="1"/>
  <c r="E68" i="1"/>
  <c r="T67" i="1"/>
  <c r="S67" i="1"/>
  <c r="F67" i="1"/>
  <c r="E67" i="1"/>
  <c r="T66" i="1"/>
  <c r="S66" i="1"/>
  <c r="F66" i="1"/>
  <c r="E66" i="1"/>
  <c r="T65" i="1"/>
  <c r="S65" i="1"/>
  <c r="R65" i="1"/>
  <c r="H65" i="1"/>
  <c r="BR65" i="1" s="1"/>
  <c r="G65" i="1"/>
  <c r="F65" i="1"/>
  <c r="L65" i="1" s="1"/>
  <c r="E65" i="1"/>
  <c r="T64" i="1"/>
  <c r="S64" i="1"/>
  <c r="F64" i="1"/>
  <c r="L64" i="1" s="1"/>
  <c r="R64" i="1" s="1"/>
  <c r="E64" i="1"/>
  <c r="T63" i="1"/>
  <c r="S63" i="1"/>
  <c r="R63" i="1"/>
  <c r="F63" i="1"/>
  <c r="L63" i="1" s="1"/>
  <c r="E63" i="1"/>
  <c r="T62" i="1"/>
  <c r="S62" i="1"/>
  <c r="R62" i="1"/>
  <c r="F62" i="1"/>
  <c r="L62" i="1" s="1"/>
  <c r="E62" i="1"/>
  <c r="T61" i="1"/>
  <c r="S61" i="1"/>
  <c r="F61" i="1"/>
  <c r="L61" i="1" s="1"/>
  <c r="R61" i="1" s="1"/>
  <c r="E61" i="1"/>
  <c r="T60" i="1"/>
  <c r="S60" i="1"/>
  <c r="F60" i="1"/>
  <c r="L60" i="1" s="1"/>
  <c r="R60" i="1" s="1"/>
  <c r="E60" i="1"/>
  <c r="T59" i="1"/>
  <c r="S59" i="1"/>
  <c r="R59" i="1"/>
  <c r="F59" i="1"/>
  <c r="L59" i="1" s="1"/>
  <c r="E59" i="1"/>
  <c r="T58" i="1"/>
  <c r="S58" i="1"/>
  <c r="F58" i="1"/>
  <c r="E58" i="1"/>
  <c r="T57" i="1"/>
  <c r="S57" i="1"/>
  <c r="F57" i="1"/>
  <c r="E57" i="1"/>
  <c r="T56" i="1"/>
  <c r="S56" i="1"/>
  <c r="F56" i="1"/>
  <c r="L56" i="1" s="1"/>
  <c r="R56" i="1" s="1"/>
  <c r="E56" i="1"/>
  <c r="T55" i="1"/>
  <c r="S55" i="1"/>
  <c r="R55" i="1"/>
  <c r="F55" i="1"/>
  <c r="L55" i="1" s="1"/>
  <c r="E55" i="1"/>
  <c r="T54" i="1"/>
  <c r="S54" i="1"/>
  <c r="F54" i="1"/>
  <c r="E54" i="1"/>
  <c r="T53" i="1"/>
  <c r="S53" i="1"/>
  <c r="F53" i="1"/>
  <c r="L53" i="1" s="1"/>
  <c r="E53" i="1"/>
  <c r="T52" i="1"/>
  <c r="S52" i="1"/>
  <c r="L52" i="1"/>
  <c r="R52" i="1" s="1"/>
  <c r="G52" i="1"/>
  <c r="H52" i="1" s="1"/>
  <c r="F52" i="1"/>
  <c r="E52" i="1"/>
  <c r="T51" i="1"/>
  <c r="S51" i="1"/>
  <c r="F51" i="1"/>
  <c r="L51" i="1" s="1"/>
  <c r="E51" i="1"/>
  <c r="BW50" i="1"/>
  <c r="BJ50" i="1"/>
  <c r="BH50" i="1"/>
  <c r="T50" i="1"/>
  <c r="S50" i="1"/>
  <c r="L50" i="1"/>
  <c r="R50" i="1" s="1"/>
  <c r="G50" i="1"/>
  <c r="H50" i="1" s="1"/>
  <c r="F50" i="1"/>
  <c r="E50" i="1"/>
  <c r="BR49" i="1"/>
  <c r="BP49" i="1"/>
  <c r="BN49" i="1"/>
  <c r="BF49" i="1"/>
  <c r="AP49" i="1"/>
  <c r="AL49" i="1"/>
  <c r="AF49" i="1"/>
  <c r="AD49" i="1"/>
  <c r="AB49" i="1"/>
  <c r="Z49" i="1"/>
  <c r="V49" i="1"/>
  <c r="T49" i="1"/>
  <c r="S49" i="1"/>
  <c r="F49" i="1"/>
  <c r="G49" i="1" s="1"/>
  <c r="H49" i="1" s="1"/>
  <c r="BB49" i="1" s="1"/>
  <c r="E49" i="1"/>
  <c r="T48" i="1"/>
  <c r="S48" i="1"/>
  <c r="F48" i="1"/>
  <c r="L48" i="1" s="1"/>
  <c r="R48" i="1" s="1"/>
  <c r="E48" i="1"/>
  <c r="AL47" i="1"/>
  <c r="AF47" i="1"/>
  <c r="AD47" i="1"/>
  <c r="T47" i="1"/>
  <c r="S47" i="1"/>
  <c r="L47" i="1"/>
  <c r="R47" i="1" s="1"/>
  <c r="F47" i="1"/>
  <c r="G47" i="1" s="1"/>
  <c r="H47" i="1" s="1"/>
  <c r="E47" i="1"/>
  <c r="T46" i="1"/>
  <c r="S46" i="1"/>
  <c r="F46" i="1"/>
  <c r="L46" i="1" s="1"/>
  <c r="R46" i="1" s="1"/>
  <c r="E46" i="1"/>
  <c r="T45" i="1"/>
  <c r="S45" i="1"/>
  <c r="F45" i="1"/>
  <c r="E45" i="1"/>
  <c r="BJ44" i="1"/>
  <c r="T44" i="1"/>
  <c r="S44" i="1"/>
  <c r="L44" i="1"/>
  <c r="R44" i="1" s="1"/>
  <c r="G44" i="1"/>
  <c r="H44" i="1" s="1"/>
  <c r="BF44" i="1" s="1"/>
  <c r="F44" i="1"/>
  <c r="E44" i="1"/>
  <c r="T43" i="1"/>
  <c r="S43" i="1"/>
  <c r="F43" i="1"/>
  <c r="L43" i="1" s="1"/>
  <c r="R43" i="1" s="1"/>
  <c r="E43" i="1"/>
  <c r="BR42" i="1"/>
  <c r="BP42" i="1"/>
  <c r="BB42" i="1"/>
  <c r="AZ42" i="1"/>
  <c r="T42" i="1"/>
  <c r="S42" i="1"/>
  <c r="L42" i="1"/>
  <c r="R42" i="1" s="1"/>
  <c r="H42" i="1"/>
  <c r="G42" i="1"/>
  <c r="F42" i="1"/>
  <c r="E42" i="1"/>
  <c r="AZ41" i="1"/>
  <c r="AP41" i="1"/>
  <c r="AN41" i="1"/>
  <c r="AD41" i="1"/>
  <c r="T41" i="1"/>
  <c r="S41" i="1"/>
  <c r="L41" i="1"/>
  <c r="R41" i="1" s="1"/>
  <c r="F41" i="1"/>
  <c r="G41" i="1" s="1"/>
  <c r="H41" i="1" s="1"/>
  <c r="E41" i="1"/>
  <c r="BR40" i="1"/>
  <c r="BP40" i="1"/>
  <c r="BN40" i="1"/>
  <c r="BF40" i="1"/>
  <c r="BB40" i="1"/>
  <c r="AZ40" i="1"/>
  <c r="AT40" i="1"/>
  <c r="AP40" i="1"/>
  <c r="AL40" i="1"/>
  <c r="AJ40" i="1"/>
  <c r="AD40" i="1"/>
  <c r="AB40" i="1"/>
  <c r="V40" i="1"/>
  <c r="T40" i="1"/>
  <c r="S40" i="1"/>
  <c r="R40" i="1"/>
  <c r="Q40" i="1"/>
  <c r="H40" i="1"/>
  <c r="F40" i="1"/>
  <c r="E40" i="1"/>
  <c r="T39" i="1"/>
  <c r="S39" i="1"/>
  <c r="L39" i="1"/>
  <c r="R39" i="1" s="1"/>
  <c r="F39" i="1"/>
  <c r="G39" i="1" s="1"/>
  <c r="H39" i="1" s="1"/>
  <c r="BH39" i="1" s="1"/>
  <c r="E39" i="1"/>
  <c r="BB38" i="1"/>
  <c r="AZ38" i="1"/>
  <c r="AL38" i="1"/>
  <c r="AJ38" i="1"/>
  <c r="AH38" i="1"/>
  <c r="T38" i="1"/>
  <c r="S38" i="1"/>
  <c r="L38" i="1"/>
  <c r="R38" i="1" s="1"/>
  <c r="G38" i="1"/>
  <c r="H38" i="1" s="1"/>
  <c r="Z38" i="1" s="1"/>
  <c r="F38" i="1"/>
  <c r="E38" i="1"/>
  <c r="T37" i="1"/>
  <c r="S37" i="1"/>
  <c r="F37" i="1"/>
  <c r="L37" i="1" s="1"/>
  <c r="R37" i="1" s="1"/>
  <c r="E37" i="1"/>
  <c r="T36" i="1"/>
  <c r="S36" i="1"/>
  <c r="L36" i="1"/>
  <c r="R36" i="1" s="1"/>
  <c r="F36" i="1"/>
  <c r="G36" i="1" s="1"/>
  <c r="H36" i="1" s="1"/>
  <c r="E36" i="1"/>
  <c r="T35" i="1"/>
  <c r="S35" i="1"/>
  <c r="F35" i="1"/>
  <c r="L35" i="1" s="1"/>
  <c r="R35" i="1" s="1"/>
  <c r="E35" i="1"/>
  <c r="BP34" i="1"/>
  <c r="BN34" i="1"/>
  <c r="BH34" i="1"/>
  <c r="BF34" i="1"/>
  <c r="BD34" i="1"/>
  <c r="BB34" i="1"/>
  <c r="AP34" i="1"/>
  <c r="AL34" i="1"/>
  <c r="AF34" i="1"/>
  <c r="AD34" i="1"/>
  <c r="AB34" i="1"/>
  <c r="Z34" i="1"/>
  <c r="T34" i="1"/>
  <c r="S34" i="1"/>
  <c r="R34" i="1"/>
  <c r="H34" i="1"/>
  <c r="F34" i="1"/>
  <c r="E34" i="1"/>
  <c r="T33" i="1"/>
  <c r="S33" i="1"/>
  <c r="F33" i="1"/>
  <c r="L33" i="1" s="1"/>
  <c r="R33" i="1" s="1"/>
  <c r="E33" i="1"/>
  <c r="T32" i="1"/>
  <c r="S32" i="1"/>
  <c r="F32" i="1"/>
  <c r="L32" i="1" s="1"/>
  <c r="R32" i="1" s="1"/>
  <c r="E32" i="1"/>
  <c r="T31" i="1"/>
  <c r="S31" i="1"/>
  <c r="L31" i="1"/>
  <c r="BW31" i="1" s="1"/>
  <c r="F31" i="1"/>
  <c r="G31" i="1" s="1"/>
  <c r="H31" i="1" s="1"/>
  <c r="BL31" i="1" s="1"/>
  <c r="E31" i="1"/>
  <c r="T30" i="1"/>
  <c r="S30" i="1"/>
  <c r="F30" i="1"/>
  <c r="L30" i="1" s="1"/>
  <c r="R30" i="1" s="1"/>
  <c r="E30" i="1"/>
  <c r="BP29" i="1"/>
  <c r="BN29" i="1"/>
  <c r="BL29" i="1"/>
  <c r="BJ29" i="1"/>
  <c r="BB29" i="1"/>
  <c r="AP29" i="1"/>
  <c r="AL29" i="1"/>
  <c r="AJ29" i="1"/>
  <c r="AH29" i="1"/>
  <c r="AB29" i="1"/>
  <c r="Z29" i="1"/>
  <c r="T29" i="1"/>
  <c r="S29" i="1"/>
  <c r="R29" i="1"/>
  <c r="H29" i="1"/>
  <c r="F29" i="1"/>
  <c r="E29" i="1"/>
  <c r="BJ28" i="1"/>
  <c r="BH28" i="1"/>
  <c r="BF28" i="1"/>
  <c r="BD28" i="1"/>
  <c r="BB28" i="1"/>
  <c r="AJ28" i="1"/>
  <c r="AH28" i="1"/>
  <c r="AF28" i="1"/>
  <c r="AD28" i="1"/>
  <c r="AB28" i="1"/>
  <c r="Z28" i="1"/>
  <c r="X28" i="1"/>
  <c r="V28" i="1"/>
  <c r="T28" i="1"/>
  <c r="S28" i="1"/>
  <c r="R28" i="1"/>
  <c r="H28" i="1"/>
  <c r="F28" i="1"/>
  <c r="E28" i="1"/>
  <c r="T27" i="1"/>
  <c r="S27" i="1"/>
  <c r="F27" i="1"/>
  <c r="L27" i="1" s="1"/>
  <c r="R27" i="1" s="1"/>
  <c r="E27" i="1"/>
  <c r="T26" i="1"/>
  <c r="S26" i="1"/>
  <c r="F26" i="1"/>
  <c r="L26" i="1" s="1"/>
  <c r="R26" i="1" s="1"/>
  <c r="E26" i="1"/>
  <c r="T25" i="1"/>
  <c r="S25" i="1"/>
  <c r="F25" i="1"/>
  <c r="L25" i="1" s="1"/>
  <c r="R25" i="1" s="1"/>
  <c r="E25" i="1"/>
  <c r="T24" i="1"/>
  <c r="S24" i="1"/>
  <c r="F24" i="1"/>
  <c r="L24" i="1" s="1"/>
  <c r="R24" i="1" s="1"/>
  <c r="E24" i="1"/>
  <c r="AR23" i="1"/>
  <c r="AP23" i="1"/>
  <c r="AJ23" i="1"/>
  <c r="T23" i="1"/>
  <c r="S23" i="1"/>
  <c r="F23" i="1"/>
  <c r="G23" i="1" s="1"/>
  <c r="H23" i="1" s="1"/>
  <c r="E23" i="1"/>
  <c r="T22" i="1"/>
  <c r="S22" i="1"/>
  <c r="F22" i="1"/>
  <c r="L22" i="1" s="1"/>
  <c r="R22" i="1" s="1"/>
  <c r="E22" i="1"/>
  <c r="BN21" i="1"/>
  <c r="BH21" i="1"/>
  <c r="AX21" i="1"/>
  <c r="AT21" i="1"/>
  <c r="AR21" i="1"/>
  <c r="AD21" i="1"/>
  <c r="X21" i="1"/>
  <c r="V21" i="1"/>
  <c r="T21" i="1"/>
  <c r="S21" i="1"/>
  <c r="L21" i="1"/>
  <c r="R21" i="1" s="1"/>
  <c r="H21" i="1"/>
  <c r="AZ21" i="1" s="1"/>
  <c r="G21" i="1"/>
  <c r="F21" i="1"/>
  <c r="E21" i="1"/>
  <c r="BD20" i="1"/>
  <c r="BB20" i="1"/>
  <c r="AZ20" i="1"/>
  <c r="AX20" i="1"/>
  <c r="AV20" i="1"/>
  <c r="T20" i="1"/>
  <c r="S20" i="1"/>
  <c r="G20" i="1"/>
  <c r="H20" i="1" s="1"/>
  <c r="F20" i="1"/>
  <c r="L20" i="1" s="1"/>
  <c r="R20" i="1" s="1"/>
  <c r="E20" i="1"/>
  <c r="T19" i="1"/>
  <c r="S19" i="1"/>
  <c r="F19" i="1"/>
  <c r="E19" i="1"/>
  <c r="T18" i="1"/>
  <c r="S18" i="1"/>
  <c r="L18" i="1"/>
  <c r="R18" i="1" s="1"/>
  <c r="G18" i="1"/>
  <c r="H18" i="1" s="1"/>
  <c r="F18" i="1"/>
  <c r="E18" i="1"/>
  <c r="AX17" i="1"/>
  <c r="AT17" i="1"/>
  <c r="AL17" i="1"/>
  <c r="AJ17" i="1"/>
  <c r="T17" i="1"/>
  <c r="S17" i="1"/>
  <c r="L17" i="1"/>
  <c r="R17" i="1" s="1"/>
  <c r="G17" i="1"/>
  <c r="H17" i="1" s="1"/>
  <c r="F17" i="1"/>
  <c r="E17" i="1"/>
  <c r="BR16" i="1"/>
  <c r="BP16" i="1"/>
  <c r="BN16" i="1"/>
  <c r="BF16" i="1"/>
  <c r="BB16" i="1"/>
  <c r="AZ16" i="1"/>
  <c r="AX16" i="1"/>
  <c r="AL16" i="1"/>
  <c r="AF16" i="1"/>
  <c r="AD16" i="1"/>
  <c r="AB16" i="1"/>
  <c r="Z16" i="1"/>
  <c r="X16" i="1"/>
  <c r="V16" i="1"/>
  <c r="T16" i="1"/>
  <c r="S16" i="1"/>
  <c r="F16" i="1"/>
  <c r="G16" i="1" s="1"/>
  <c r="H16" i="1" s="1"/>
  <c r="AR16" i="1" s="1"/>
  <c r="E16" i="1"/>
  <c r="BR15" i="1"/>
  <c r="BP15" i="1"/>
  <c r="BN15" i="1"/>
  <c r="T15" i="1"/>
  <c r="S15" i="1"/>
  <c r="L15" i="1"/>
  <c r="R15" i="1" s="1"/>
  <c r="F15" i="1"/>
  <c r="G15" i="1" s="1"/>
  <c r="H15" i="1" s="1"/>
  <c r="E15" i="1"/>
  <c r="T14" i="1"/>
  <c r="S14" i="1"/>
  <c r="F14" i="1"/>
  <c r="L14" i="1" s="1"/>
  <c r="R14" i="1" s="1"/>
  <c r="E14" i="1"/>
  <c r="T13" i="1"/>
  <c r="S13" i="1"/>
  <c r="F13" i="1"/>
  <c r="L13" i="1" s="1"/>
  <c r="R13" i="1" s="1"/>
  <c r="E13" i="1"/>
  <c r="T12" i="1"/>
  <c r="S12" i="1"/>
  <c r="F12" i="1"/>
  <c r="E12" i="1"/>
  <c r="T11" i="1"/>
  <c r="S11" i="1"/>
  <c r="F11" i="1"/>
  <c r="L11" i="1" s="1"/>
  <c r="R11" i="1" s="1"/>
  <c r="E11" i="1"/>
  <c r="T10" i="1"/>
  <c r="S10" i="1"/>
  <c r="F10" i="1"/>
  <c r="L10" i="1" s="1"/>
  <c r="R10" i="1" s="1"/>
  <c r="T9" i="1"/>
  <c r="S9" i="1"/>
  <c r="F9" i="1"/>
  <c r="BR8" i="1"/>
  <c r="BP8" i="1"/>
  <c r="BN8" i="1"/>
  <c r="BJ8" i="1"/>
  <c r="BF8" i="1"/>
  <c r="BB8" i="1"/>
  <c r="AZ8" i="1"/>
  <c r="AX8" i="1"/>
  <c r="AV8" i="1"/>
  <c r="AT8" i="1"/>
  <c r="AR8" i="1"/>
  <c r="AP8" i="1"/>
  <c r="AL8" i="1"/>
  <c r="AH8" i="1"/>
  <c r="AD8" i="1"/>
  <c r="AB8" i="1"/>
  <c r="Z8" i="1"/>
  <c r="X8" i="1"/>
  <c r="V8" i="1"/>
  <c r="T8" i="1"/>
  <c r="S8" i="1"/>
  <c r="R8" i="1"/>
  <c r="Q8" i="1"/>
  <c r="H8" i="1"/>
  <c r="BH8" i="1" s="1"/>
  <c r="F8" i="1"/>
  <c r="E8" i="1"/>
  <c r="BN7" i="1"/>
  <c r="BL7" i="1"/>
  <c r="BJ7" i="1"/>
  <c r="BH7" i="1"/>
  <c r="BF7" i="1"/>
  <c r="AD7" i="1"/>
  <c r="AB7" i="1"/>
  <c r="Z7" i="1"/>
  <c r="T7" i="1"/>
  <c r="S7" i="1"/>
  <c r="F7" i="1"/>
  <c r="G7" i="1" s="1"/>
  <c r="H7" i="1" s="1"/>
  <c r="E7" i="1"/>
  <c r="T6" i="1"/>
  <c r="S6" i="1"/>
  <c r="F6" i="1"/>
  <c r="E6" i="1"/>
  <c r="BT5" i="1"/>
  <c r="BT81" i="1" s="1"/>
  <c r="BL5" i="1"/>
  <c r="BL40" i="1" s="1"/>
  <c r="BD5" i="1"/>
  <c r="AV5" i="1"/>
  <c r="AN5" i="1"/>
  <c r="AN49" i="1" s="1"/>
  <c r="AF5" i="1"/>
  <c r="AF101" i="1" s="1"/>
  <c r="BT95" i="1" l="1"/>
  <c r="AV95" i="1"/>
  <c r="X95" i="1"/>
  <c r="AZ95" i="1"/>
  <c r="Z95" i="1"/>
  <c r="AX95" i="1"/>
  <c r="V95" i="1"/>
  <c r="AR95" i="1"/>
  <c r="Q95" i="1"/>
  <c r="AP95" i="1"/>
  <c r="BJ95" i="1"/>
  <c r="AB95" i="1"/>
  <c r="BH95" i="1"/>
  <c r="BN95" i="1"/>
  <c r="BL95" i="1"/>
  <c r="AT95" i="1"/>
  <c r="AJ95" i="1"/>
  <c r="AH95" i="1"/>
  <c r="AN95" i="1"/>
  <c r="AL95" i="1"/>
  <c r="BR95" i="1"/>
  <c r="BP95" i="1"/>
  <c r="BF95" i="1"/>
  <c r="BD95" i="1"/>
  <c r="BB95" i="1"/>
  <c r="AD95" i="1"/>
  <c r="AF95" i="1"/>
  <c r="BL18" i="1"/>
  <c r="AN18" i="1"/>
  <c r="AX18" i="1"/>
  <c r="X18" i="1"/>
  <c r="AV18" i="1"/>
  <c r="V18" i="1"/>
  <c r="BF18" i="1"/>
  <c r="AB18" i="1"/>
  <c r="BD18" i="1"/>
  <c r="Z18" i="1"/>
  <c r="BB18" i="1"/>
  <c r="AZ18" i="1"/>
  <c r="AP18" i="1"/>
  <c r="AJ18" i="1"/>
  <c r="AH18" i="1"/>
  <c r="AL18" i="1"/>
  <c r="BT18" i="1"/>
  <c r="AF18" i="1"/>
  <c r="BR18" i="1"/>
  <c r="AD18" i="1"/>
  <c r="BP18" i="1"/>
  <c r="BN18" i="1"/>
  <c r="BJ18" i="1"/>
  <c r="AR18" i="1"/>
  <c r="Q18" i="1"/>
  <c r="BH18" i="1"/>
  <c r="AT18" i="1"/>
  <c r="BT36" i="1"/>
  <c r="AV36" i="1"/>
  <c r="X36" i="1"/>
  <c r="BR36" i="1"/>
  <c r="V36" i="1"/>
  <c r="AT36" i="1"/>
  <c r="BL36" i="1"/>
  <c r="AJ36" i="1"/>
  <c r="BJ36" i="1"/>
  <c r="AH36" i="1"/>
  <c r="AL36" i="1"/>
  <c r="BH36" i="1"/>
  <c r="AB36" i="1"/>
  <c r="BP36" i="1"/>
  <c r="AF36" i="1"/>
  <c r="BN36" i="1"/>
  <c r="AD36" i="1"/>
  <c r="AR36" i="1"/>
  <c r="Z36" i="1"/>
  <c r="BF36" i="1"/>
  <c r="Q36" i="1"/>
  <c r="AP36" i="1"/>
  <c r="AN36" i="1"/>
  <c r="BD36" i="1"/>
  <c r="BB36" i="1"/>
  <c r="AZ36" i="1"/>
  <c r="AX36" i="1"/>
  <c r="BT94" i="1"/>
  <c r="AV94" i="1"/>
  <c r="X94" i="1"/>
  <c r="BR94" i="1"/>
  <c r="AR94" i="1"/>
  <c r="BP94" i="1"/>
  <c r="AP94" i="1"/>
  <c r="BD94" i="1"/>
  <c r="Z94" i="1"/>
  <c r="BB94" i="1"/>
  <c r="V94" i="1"/>
  <c r="BH94" i="1"/>
  <c r="BF94" i="1"/>
  <c r="AX94" i="1"/>
  <c r="AT94" i="1"/>
  <c r="AD94" i="1"/>
  <c r="BN94" i="1"/>
  <c r="BL94" i="1"/>
  <c r="Q94" i="1"/>
  <c r="AB94" i="1"/>
  <c r="AH94" i="1"/>
  <c r="BJ94" i="1"/>
  <c r="AZ94" i="1"/>
  <c r="AN94" i="1"/>
  <c r="AJ94" i="1"/>
  <c r="AL94" i="1"/>
  <c r="BT96" i="1"/>
  <c r="AV96" i="1"/>
  <c r="X96" i="1"/>
  <c r="BF96" i="1"/>
  <c r="AF96" i="1"/>
  <c r="BD96" i="1"/>
  <c r="AD96" i="1"/>
  <c r="BL96" i="1"/>
  <c r="AH96" i="1"/>
  <c r="BJ96" i="1"/>
  <c r="AB96" i="1"/>
  <c r="BB96" i="1"/>
  <c r="AZ96" i="1"/>
  <c r="Z96" i="1"/>
  <c r="BR96" i="1"/>
  <c r="V96" i="1"/>
  <c r="BH96" i="1"/>
  <c r="AX96" i="1"/>
  <c r="BP96" i="1"/>
  <c r="Q96" i="1"/>
  <c r="BN96" i="1"/>
  <c r="AT96" i="1"/>
  <c r="AR96" i="1"/>
  <c r="AP96" i="1"/>
  <c r="AN96" i="1"/>
  <c r="AL96" i="1"/>
  <c r="AJ96" i="1"/>
  <c r="BL52" i="1"/>
  <c r="AN52" i="1"/>
  <c r="BT52" i="1"/>
  <c r="AT52" i="1"/>
  <c r="BR52" i="1"/>
  <c r="AR52" i="1"/>
  <c r="BJ52" i="1"/>
  <c r="AF52" i="1"/>
  <c r="BH52" i="1"/>
  <c r="AD52" i="1"/>
  <c r="AH52" i="1"/>
  <c r="BF52" i="1"/>
  <c r="X52" i="1"/>
  <c r="BP52" i="1"/>
  <c r="AB52" i="1"/>
  <c r="BN52" i="1"/>
  <c r="Z52" i="1"/>
  <c r="AL52" i="1"/>
  <c r="AJ52" i="1"/>
  <c r="V52" i="1"/>
  <c r="BD52" i="1"/>
  <c r="Q52" i="1"/>
  <c r="BB52" i="1"/>
  <c r="AN91" i="1"/>
  <c r="AF94" i="1"/>
  <c r="BL15" i="1"/>
  <c r="AN15" i="1"/>
  <c r="BD15" i="1"/>
  <c r="AD15" i="1"/>
  <c r="BB15" i="1"/>
  <c r="AB15" i="1"/>
  <c r="BF15" i="1"/>
  <c r="X15" i="1"/>
  <c r="AZ15" i="1"/>
  <c r="V15" i="1"/>
  <c r="AX15" i="1"/>
  <c r="AV15" i="1"/>
  <c r="AT15" i="1"/>
  <c r="AP15" i="1"/>
  <c r="AL15" i="1"/>
  <c r="AF15" i="1"/>
  <c r="AR15" i="1"/>
  <c r="AH15" i="1"/>
  <c r="BT15" i="1"/>
  <c r="AJ15" i="1"/>
  <c r="R31" i="1"/>
  <c r="G48" i="1"/>
  <c r="H48" i="1" s="1"/>
  <c r="L54" i="1"/>
  <c r="R54" i="1" s="1"/>
  <c r="G54" i="1"/>
  <c r="H54" i="1" s="1"/>
  <c r="Q15" i="1"/>
  <c r="BT50" i="1"/>
  <c r="AV50" i="1"/>
  <c r="X50" i="1"/>
  <c r="BP50" i="1"/>
  <c r="AP50" i="1"/>
  <c r="BN50" i="1"/>
  <c r="AN50" i="1"/>
  <c r="Q50" i="1"/>
  <c r="BR50" i="1"/>
  <c r="AJ50" i="1"/>
  <c r="BL50" i="1"/>
  <c r="AH50" i="1"/>
  <c r="BB50" i="1"/>
  <c r="AT50" i="1"/>
  <c r="AZ50" i="1"/>
  <c r="AX50" i="1"/>
  <c r="AR50" i="1"/>
  <c r="Z50" i="1"/>
  <c r="AL50" i="1"/>
  <c r="AF50" i="1"/>
  <c r="AD50" i="1"/>
  <c r="V50" i="1"/>
  <c r="AB50" i="1"/>
  <c r="BV50" i="1"/>
  <c r="AP52" i="1"/>
  <c r="BB31" i="1"/>
  <c r="AV52" i="1"/>
  <c r="G13" i="1"/>
  <c r="H13" i="1" s="1"/>
  <c r="BL23" i="1"/>
  <c r="AN23" i="1"/>
  <c r="BJ23" i="1"/>
  <c r="Q23" i="1"/>
  <c r="AL23" i="1"/>
  <c r="BD23" i="1"/>
  <c r="AB23" i="1"/>
  <c r="BB23" i="1"/>
  <c r="Z23" i="1"/>
  <c r="BR23" i="1"/>
  <c r="AH23" i="1"/>
  <c r="X23" i="1"/>
  <c r="BP23" i="1"/>
  <c r="AF23" i="1"/>
  <c r="BN23" i="1"/>
  <c r="AD23" i="1"/>
  <c r="BH23" i="1"/>
  <c r="BF23" i="1"/>
  <c r="AZ23" i="1"/>
  <c r="AX23" i="1"/>
  <c r="AT23" i="1"/>
  <c r="BT23" i="1"/>
  <c r="AV23" i="1"/>
  <c r="BD31" i="1"/>
  <c r="BD39" i="1"/>
  <c r="AX42" i="1"/>
  <c r="Z42" i="1"/>
  <c r="BT42" i="1"/>
  <c r="AV42" i="1"/>
  <c r="X42" i="1"/>
  <c r="BJ42" i="1"/>
  <c r="AH42" i="1"/>
  <c r="BH42" i="1"/>
  <c r="AF42" i="1"/>
  <c r="BN42" i="1"/>
  <c r="AD42" i="1"/>
  <c r="BD42" i="1"/>
  <c r="BL42" i="1"/>
  <c r="AB42" i="1"/>
  <c r="BF42" i="1"/>
  <c r="V42" i="1"/>
  <c r="AT42" i="1"/>
  <c r="AL42" i="1"/>
  <c r="AR42" i="1"/>
  <c r="AP42" i="1"/>
  <c r="AN42" i="1"/>
  <c r="AJ42" i="1"/>
  <c r="AX52" i="1"/>
  <c r="BP65" i="1"/>
  <c r="BB79" i="1"/>
  <c r="Z15" i="1"/>
  <c r="BJ31" i="1"/>
  <c r="AP44" i="1"/>
  <c r="AZ52" i="1"/>
  <c r="BT103" i="1"/>
  <c r="AV103" i="1"/>
  <c r="X103" i="1"/>
  <c r="AZ103" i="1"/>
  <c r="Z103" i="1"/>
  <c r="AX103" i="1"/>
  <c r="V103" i="1"/>
  <c r="BR103" i="1"/>
  <c r="AN103" i="1"/>
  <c r="BP103" i="1"/>
  <c r="AL103" i="1"/>
  <c r="BN103" i="1"/>
  <c r="AF103" i="1"/>
  <c r="BL103" i="1"/>
  <c r="AD103" i="1"/>
  <c r="BJ103" i="1"/>
  <c r="AP103" i="1"/>
  <c r="AB103" i="1"/>
  <c r="AJ103" i="1"/>
  <c r="AH103" i="1"/>
  <c r="BH103" i="1"/>
  <c r="BF103" i="1"/>
  <c r="BD103" i="1"/>
  <c r="BB103" i="1"/>
  <c r="AT103" i="1"/>
  <c r="AR103" i="1"/>
  <c r="BH15" i="1"/>
  <c r="Q42" i="1"/>
  <c r="BD50" i="1"/>
  <c r="L103" i="1"/>
  <c r="R103" i="1" s="1"/>
  <c r="BP83" i="1"/>
  <c r="AR83" i="1"/>
  <c r="BF83" i="1"/>
  <c r="AF83" i="1"/>
  <c r="BD83" i="1"/>
  <c r="AD83" i="1"/>
  <c r="BH83" i="1"/>
  <c r="Z83" i="1"/>
  <c r="BB83" i="1"/>
  <c r="X83" i="1"/>
  <c r="AX83" i="1"/>
  <c r="AV83" i="1"/>
  <c r="Q83" i="1"/>
  <c r="BN83" i="1"/>
  <c r="BL83" i="1"/>
  <c r="BR83" i="1"/>
  <c r="AT83" i="1"/>
  <c r="AP83" i="1"/>
  <c r="BJ83" i="1"/>
  <c r="AZ83" i="1"/>
  <c r="BT83" i="1"/>
  <c r="AN83" i="1"/>
  <c r="AL83" i="1"/>
  <c r="AJ83" i="1"/>
  <c r="AH83" i="1"/>
  <c r="AB83" i="1"/>
  <c r="V83" i="1"/>
  <c r="BT31" i="1"/>
  <c r="AV31" i="1"/>
  <c r="X31" i="1"/>
  <c r="AT31" i="1"/>
  <c r="BR31" i="1"/>
  <c r="V31" i="1"/>
  <c r="BH31" i="1"/>
  <c r="AF31" i="1"/>
  <c r="BF31" i="1"/>
  <c r="AD31" i="1"/>
  <c r="AP31" i="1"/>
  <c r="AN31" i="1"/>
  <c r="BV31" i="1"/>
  <c r="AL31" i="1"/>
  <c r="BP31" i="1"/>
  <c r="AJ31" i="1"/>
  <c r="AZ31" i="1"/>
  <c r="AR31" i="1"/>
  <c r="AH31" i="1"/>
  <c r="BN31" i="1"/>
  <c r="AX31" i="1"/>
  <c r="AB31" i="1"/>
  <c r="Z31" i="1"/>
  <c r="BH65" i="1"/>
  <c r="AJ65" i="1"/>
  <c r="AV65" i="1"/>
  <c r="V65" i="1"/>
  <c r="BT65" i="1"/>
  <c r="AT65" i="1"/>
  <c r="AZ65" i="1"/>
  <c r="AX65" i="1"/>
  <c r="BL65" i="1"/>
  <c r="AB65" i="1"/>
  <c r="BD65" i="1"/>
  <c r="BJ65" i="1"/>
  <c r="Z65" i="1"/>
  <c r="BF65" i="1"/>
  <c r="X65" i="1"/>
  <c r="AR65" i="1"/>
  <c r="AP65" i="1"/>
  <c r="AN65" i="1"/>
  <c r="AL65" i="1"/>
  <c r="AF65" i="1"/>
  <c r="AD65" i="1"/>
  <c r="AH65" i="1"/>
  <c r="L58" i="1"/>
  <c r="R58" i="1" s="1"/>
  <c r="G58" i="1"/>
  <c r="H58" i="1" s="1"/>
  <c r="Q65" i="1"/>
  <c r="L86" i="1"/>
  <c r="G86" i="1"/>
  <c r="H86" i="1" s="1"/>
  <c r="AN87" i="1"/>
  <c r="AN92" i="1"/>
  <c r="AN40" i="1"/>
  <c r="AN93" i="1"/>
  <c r="AN101" i="1"/>
  <c r="AN34" i="1"/>
  <c r="AN29" i="1"/>
  <c r="AN8" i="1"/>
  <c r="Q31" i="1"/>
  <c r="AV87" i="1"/>
  <c r="AV21" i="1"/>
  <c r="BR39" i="1"/>
  <c r="AT39" i="1"/>
  <c r="V39" i="1"/>
  <c r="BP39" i="1"/>
  <c r="AR39" i="1"/>
  <c r="AP39" i="1"/>
  <c r="BT39" i="1"/>
  <c r="AN39" i="1"/>
  <c r="Q39" i="1"/>
  <c r="AV39" i="1"/>
  <c r="AH39" i="1"/>
  <c r="AL39" i="1"/>
  <c r="AJ39" i="1"/>
  <c r="BN39" i="1"/>
  <c r="BB39" i="1"/>
  <c r="AF39" i="1"/>
  <c r="Z39" i="1"/>
  <c r="BL39" i="1"/>
  <c r="X39" i="1"/>
  <c r="AZ39" i="1"/>
  <c r="AX39" i="1"/>
  <c r="AD39" i="1"/>
  <c r="AB39" i="1"/>
  <c r="BL79" i="1"/>
  <c r="AN79" i="1"/>
  <c r="BH79" i="1"/>
  <c r="AH79" i="1"/>
  <c r="BF79" i="1"/>
  <c r="AF79" i="1"/>
  <c r="BR79" i="1"/>
  <c r="AL79" i="1"/>
  <c r="AP79" i="1"/>
  <c r="BT79" i="1"/>
  <c r="AJ79" i="1"/>
  <c r="AB79" i="1"/>
  <c r="BP79" i="1"/>
  <c r="Z79" i="1"/>
  <c r="AD79" i="1"/>
  <c r="X79" i="1"/>
  <c r="V79" i="1"/>
  <c r="BN79" i="1"/>
  <c r="BJ79" i="1"/>
  <c r="AZ79" i="1"/>
  <c r="AX79" i="1"/>
  <c r="AV79" i="1"/>
  <c r="AT79" i="1"/>
  <c r="AR79" i="1"/>
  <c r="Q79" i="1"/>
  <c r="AN81" i="1"/>
  <c r="G24" i="1"/>
  <c r="H24" i="1" s="1"/>
  <c r="BT44" i="1"/>
  <c r="AV44" i="1"/>
  <c r="X44" i="1"/>
  <c r="BD44" i="1"/>
  <c r="AD44" i="1"/>
  <c r="AB44" i="1"/>
  <c r="BB44" i="1"/>
  <c r="BN44" i="1"/>
  <c r="AJ44" i="1"/>
  <c r="BL44" i="1"/>
  <c r="AH44" i="1"/>
  <c r="AZ44" i="1"/>
  <c r="AR44" i="1"/>
  <c r="AX44" i="1"/>
  <c r="Q44" i="1"/>
  <c r="AT44" i="1"/>
  <c r="AN44" i="1"/>
  <c r="AF44" i="1"/>
  <c r="Z44" i="1"/>
  <c r="AL44" i="1"/>
  <c r="V44" i="1"/>
  <c r="BR44" i="1"/>
  <c r="BP44" i="1"/>
  <c r="AV88" i="1"/>
  <c r="BT104" i="1"/>
  <c r="AV104" i="1"/>
  <c r="X104" i="1"/>
  <c r="BF104" i="1"/>
  <c r="AF104" i="1"/>
  <c r="BD104" i="1"/>
  <c r="AD104" i="1"/>
  <c r="BH104" i="1"/>
  <c r="Z104" i="1"/>
  <c r="BB104" i="1"/>
  <c r="V104" i="1"/>
  <c r="BP104" i="1"/>
  <c r="AH104" i="1"/>
  <c r="BN104" i="1"/>
  <c r="AB104" i="1"/>
  <c r="AN104" i="1"/>
  <c r="AL104" i="1"/>
  <c r="BR104" i="1"/>
  <c r="Q104" i="1"/>
  <c r="BX104" i="1" s="1"/>
  <c r="AZ104" i="1"/>
  <c r="BL104" i="1"/>
  <c r="BJ104" i="1"/>
  <c r="AX104" i="1"/>
  <c r="AT104" i="1"/>
  <c r="AR104" i="1"/>
  <c r="AP104" i="1"/>
  <c r="AJ104" i="1"/>
  <c r="AV17" i="1"/>
  <c r="L57" i="1"/>
  <c r="R57" i="1" s="1"/>
  <c r="G57" i="1"/>
  <c r="H57" i="1" s="1"/>
  <c r="BB65" i="1"/>
  <c r="BF71" i="1"/>
  <c r="AH71" i="1"/>
  <c r="BN71" i="1"/>
  <c r="AN71" i="1"/>
  <c r="Q71" i="1"/>
  <c r="BL71" i="1"/>
  <c r="AJ71" i="1"/>
  <c r="AF71" i="1"/>
  <c r="BJ71" i="1"/>
  <c r="AX71" i="1"/>
  <c r="AV71" i="1"/>
  <c r="BR71" i="1"/>
  <c r="Z71" i="1"/>
  <c r="BD71" i="1"/>
  <c r="BP71" i="1"/>
  <c r="X71" i="1"/>
  <c r="BH71" i="1"/>
  <c r="V71" i="1"/>
  <c r="AZ71" i="1"/>
  <c r="AD71" i="1"/>
  <c r="AB71" i="1"/>
  <c r="AT71" i="1"/>
  <c r="AR71" i="1"/>
  <c r="AP71" i="1"/>
  <c r="AL71" i="1"/>
  <c r="BT47" i="1"/>
  <c r="AV47" i="1"/>
  <c r="X47" i="1"/>
  <c r="AX47" i="1"/>
  <c r="V47" i="1"/>
  <c r="AT47" i="1"/>
  <c r="BN47" i="1"/>
  <c r="AJ47" i="1"/>
  <c r="BL47" i="1"/>
  <c r="AH47" i="1"/>
  <c r="BD47" i="1"/>
  <c r="AR47" i="1"/>
  <c r="BB47" i="1"/>
  <c r="AZ47" i="1"/>
  <c r="Q47" i="1"/>
  <c r="Z47" i="1"/>
  <c r="BH47" i="1"/>
  <c r="BF47" i="1"/>
  <c r="AP47" i="1"/>
  <c r="BR47" i="1"/>
  <c r="BP47" i="1"/>
  <c r="BJ47" i="1"/>
  <c r="AN47" i="1"/>
  <c r="BN65" i="1"/>
  <c r="BH75" i="1"/>
  <c r="AJ75" i="1"/>
  <c r="BF75" i="1"/>
  <c r="AF75" i="1"/>
  <c r="BD75" i="1"/>
  <c r="AD75" i="1"/>
  <c r="AV75" i="1"/>
  <c r="BP75" i="1"/>
  <c r="AH75" i="1"/>
  <c r="BN75" i="1"/>
  <c r="AB75" i="1"/>
  <c r="BL75" i="1"/>
  <c r="V75" i="1"/>
  <c r="BJ75" i="1"/>
  <c r="AZ75" i="1"/>
  <c r="Q75" i="1"/>
  <c r="AX75" i="1"/>
  <c r="AT75" i="1"/>
  <c r="AR75" i="1"/>
  <c r="AP75" i="1"/>
  <c r="AN75" i="1"/>
  <c r="AL75" i="1"/>
  <c r="Z75" i="1"/>
  <c r="X75" i="1"/>
  <c r="BT84" i="1"/>
  <c r="AV84" i="1"/>
  <c r="X84" i="1"/>
  <c r="BP84" i="1"/>
  <c r="AP84" i="1"/>
  <c r="BN84" i="1"/>
  <c r="AN84" i="1"/>
  <c r="Q84" i="1"/>
  <c r="AZ84" i="1"/>
  <c r="AX84" i="1"/>
  <c r="BB84" i="1"/>
  <c r="AT84" i="1"/>
  <c r="BR84" i="1"/>
  <c r="AB84" i="1"/>
  <c r="BL84" i="1"/>
  <c r="Z84" i="1"/>
  <c r="AH84" i="1"/>
  <c r="V84" i="1"/>
  <c r="AF84" i="1"/>
  <c r="AD84" i="1"/>
  <c r="BF84" i="1"/>
  <c r="BD84" i="1"/>
  <c r="AR84" i="1"/>
  <c r="AL84" i="1"/>
  <c r="AJ84" i="1"/>
  <c r="AV90" i="1"/>
  <c r="G97" i="1"/>
  <c r="H97" i="1" s="1"/>
  <c r="L89" i="1"/>
  <c r="R89" i="1" s="1"/>
  <c r="G89" i="1"/>
  <c r="H89" i="1" s="1"/>
  <c r="G33" i="1"/>
  <c r="H33" i="1" s="1"/>
  <c r="BF39" i="1"/>
  <c r="AX41" i="1"/>
  <c r="Z41" i="1"/>
  <c r="AV41" i="1"/>
  <c r="X41" i="1"/>
  <c r="BT41" i="1"/>
  <c r="AT41" i="1"/>
  <c r="AR41" i="1"/>
  <c r="BR41" i="1"/>
  <c r="AL41" i="1"/>
  <c r="BL41" i="1"/>
  <c r="AF41" i="1"/>
  <c r="BP41" i="1"/>
  <c r="AJ41" i="1"/>
  <c r="BN41" i="1"/>
  <c r="AH41" i="1"/>
  <c r="AB41" i="1"/>
  <c r="BJ41" i="1"/>
  <c r="BD41" i="1"/>
  <c r="V41" i="1"/>
  <c r="BH41" i="1"/>
  <c r="Q41" i="1"/>
  <c r="BF41" i="1"/>
  <c r="BB41" i="1"/>
  <c r="BD7" i="1"/>
  <c r="AF7" i="1"/>
  <c r="AX7" i="1"/>
  <c r="X7" i="1"/>
  <c r="AV7" i="1"/>
  <c r="BT7" i="1"/>
  <c r="AR7" i="1"/>
  <c r="AT7" i="1"/>
  <c r="BR7" i="1"/>
  <c r="BB7" i="1"/>
  <c r="AP7" i="1"/>
  <c r="AH7" i="1"/>
  <c r="AZ7" i="1"/>
  <c r="Q7" i="1"/>
  <c r="AN7" i="1"/>
  <c r="AL7" i="1"/>
  <c r="AJ7" i="1"/>
  <c r="BP7" i="1"/>
  <c r="BL20" i="1"/>
  <c r="AN20" i="1"/>
  <c r="AL20" i="1"/>
  <c r="Q20" i="1"/>
  <c r="BJ20" i="1"/>
  <c r="BT20" i="1"/>
  <c r="AR20" i="1"/>
  <c r="BR20" i="1"/>
  <c r="AP20" i="1"/>
  <c r="AT20" i="1"/>
  <c r="BP20" i="1"/>
  <c r="AJ20" i="1"/>
  <c r="AH20" i="1"/>
  <c r="AF20" i="1"/>
  <c r="AD20" i="1"/>
  <c r="Z20" i="1"/>
  <c r="AB20" i="1"/>
  <c r="X20" i="1"/>
  <c r="BN20" i="1"/>
  <c r="V20" i="1"/>
  <c r="BH20" i="1"/>
  <c r="BF20" i="1"/>
  <c r="T105" i="1"/>
  <c r="C112" i="1" s="1"/>
  <c r="E112" i="1" s="1"/>
  <c r="L9" i="1"/>
  <c r="R9" i="1" s="1"/>
  <c r="G9" i="1"/>
  <c r="H9" i="1" s="1"/>
  <c r="BJ15" i="1"/>
  <c r="BL17" i="1"/>
  <c r="AN17" i="1"/>
  <c r="BR17" i="1"/>
  <c r="AR17" i="1"/>
  <c r="BP17" i="1"/>
  <c r="AP17" i="1"/>
  <c r="Q17" i="1"/>
  <c r="BN17" i="1"/>
  <c r="AH17" i="1"/>
  <c r="BH17" i="1"/>
  <c r="AB17" i="1"/>
  <c r="BJ17" i="1"/>
  <c r="AF17" i="1"/>
  <c r="AD17" i="1"/>
  <c r="BF17" i="1"/>
  <c r="Z17" i="1"/>
  <c r="V17" i="1"/>
  <c r="BD17" i="1"/>
  <c r="AZ17" i="1"/>
  <c r="X17" i="1"/>
  <c r="BT17" i="1"/>
  <c r="BB17" i="1"/>
  <c r="G22" i="1"/>
  <c r="H22" i="1" s="1"/>
  <c r="V23" i="1"/>
  <c r="G26" i="1"/>
  <c r="H26" i="1" s="1"/>
  <c r="BJ39" i="1"/>
  <c r="BH44" i="1"/>
  <c r="G46" i="1"/>
  <c r="H46" i="1" s="1"/>
  <c r="AB47" i="1"/>
  <c r="BF50" i="1"/>
  <c r="R53" i="1"/>
  <c r="BW53" i="1"/>
  <c r="BT71" i="1"/>
  <c r="AV76" i="1"/>
  <c r="BH84" i="1"/>
  <c r="BP91" i="1"/>
  <c r="AR91" i="1"/>
  <c r="AV91" i="1"/>
  <c r="V91" i="1"/>
  <c r="BT91" i="1"/>
  <c r="AT91" i="1"/>
  <c r="AZ91" i="1"/>
  <c r="AX91" i="1"/>
  <c r="BH91" i="1"/>
  <c r="Z91" i="1"/>
  <c r="BF91" i="1"/>
  <c r="X91" i="1"/>
  <c r="AJ91" i="1"/>
  <c r="AH91" i="1"/>
  <c r="AF91" i="1"/>
  <c r="BR91" i="1"/>
  <c r="BN91" i="1"/>
  <c r="AD91" i="1"/>
  <c r="AB91" i="1"/>
  <c r="AL91" i="1"/>
  <c r="Q91" i="1"/>
  <c r="BX91" i="1" s="1"/>
  <c r="BL91" i="1"/>
  <c r="BJ91" i="1"/>
  <c r="Q103" i="1"/>
  <c r="L72" i="1"/>
  <c r="R72" i="1" s="1"/>
  <c r="G72" i="1"/>
  <c r="H72" i="1" s="1"/>
  <c r="BP90" i="1"/>
  <c r="AR90" i="1"/>
  <c r="BR90" i="1"/>
  <c r="AP90" i="1"/>
  <c r="BN90" i="1"/>
  <c r="AN90" i="1"/>
  <c r="BJ90" i="1"/>
  <c r="AF90" i="1"/>
  <c r="BH90" i="1"/>
  <c r="AD90" i="1"/>
  <c r="BT90" i="1"/>
  <c r="AB90" i="1"/>
  <c r="BL90" i="1"/>
  <c r="Z90" i="1"/>
  <c r="AH90" i="1"/>
  <c r="X90" i="1"/>
  <c r="BB90" i="1"/>
  <c r="AZ90" i="1"/>
  <c r="BF90" i="1"/>
  <c r="Q90" i="1"/>
  <c r="BD90" i="1"/>
  <c r="BD8" i="1"/>
  <c r="BD85" i="1"/>
  <c r="BD78" i="1"/>
  <c r="BL8" i="1"/>
  <c r="G43" i="1"/>
  <c r="H43" i="1" s="1"/>
  <c r="BH76" i="1"/>
  <c r="AJ76" i="1"/>
  <c r="BN76" i="1"/>
  <c r="AN76" i="1"/>
  <c r="Q76" i="1"/>
  <c r="BL76" i="1"/>
  <c r="AL76" i="1"/>
  <c r="BT76" i="1"/>
  <c r="AP76" i="1"/>
  <c r="BF76" i="1"/>
  <c r="Z76" i="1"/>
  <c r="BD76" i="1"/>
  <c r="X76" i="1"/>
  <c r="AD76" i="1"/>
  <c r="BR76" i="1"/>
  <c r="AB76" i="1"/>
  <c r="AF76" i="1"/>
  <c r="BP76" i="1"/>
  <c r="V76" i="1"/>
  <c r="G61" i="1"/>
  <c r="H61" i="1" s="1"/>
  <c r="BD101" i="1"/>
  <c r="G25" i="1"/>
  <c r="H25" i="1" s="1"/>
  <c r="G27" i="1"/>
  <c r="H27" i="1" s="1"/>
  <c r="G12" i="1"/>
  <c r="H12" i="1" s="1"/>
  <c r="L12" i="1"/>
  <c r="R12" i="1" s="1"/>
  <c r="G37" i="1"/>
  <c r="H37" i="1" s="1"/>
  <c r="BL38" i="1"/>
  <c r="L70" i="1"/>
  <c r="R70" i="1" s="1"/>
  <c r="G70" i="1"/>
  <c r="H70" i="1" s="1"/>
  <c r="G73" i="1"/>
  <c r="H73" i="1" s="1"/>
  <c r="G99" i="1"/>
  <c r="H99" i="1" s="1"/>
  <c r="G45" i="1"/>
  <c r="H45" i="1" s="1"/>
  <c r="L45" i="1"/>
  <c r="R45" i="1" s="1"/>
  <c r="G53" i="1"/>
  <c r="H53" i="1" s="1"/>
  <c r="G64" i="1"/>
  <c r="H64" i="1" s="1"/>
  <c r="L67" i="1"/>
  <c r="R67" i="1" s="1"/>
  <c r="G67" i="1"/>
  <c r="H67" i="1" s="1"/>
  <c r="BL82" i="1"/>
  <c r="V90" i="1"/>
  <c r="BT100" i="1"/>
  <c r="AV100" i="1"/>
  <c r="X100" i="1"/>
  <c r="BF100" i="1"/>
  <c r="AF100" i="1"/>
  <c r="BD100" i="1"/>
  <c r="AD100" i="1"/>
  <c r="AX100" i="1"/>
  <c r="AT100" i="1"/>
  <c r="BB100" i="1"/>
  <c r="AZ100" i="1"/>
  <c r="Q100" i="1"/>
  <c r="BX100" i="1" s="1"/>
  <c r="BN100" i="1"/>
  <c r="V100" i="1"/>
  <c r="BL100" i="1"/>
  <c r="BJ100" i="1"/>
  <c r="AP100" i="1"/>
  <c r="AN100" i="1"/>
  <c r="BH100" i="1"/>
  <c r="AR100" i="1"/>
  <c r="BT38" i="1"/>
  <c r="BD40" i="1"/>
  <c r="G56" i="1"/>
  <c r="H56" i="1" s="1"/>
  <c r="G62" i="1"/>
  <c r="H62" i="1" s="1"/>
  <c r="AJ90" i="1"/>
  <c r="BT8" i="1"/>
  <c r="L23" i="1"/>
  <c r="R23" i="1" s="1"/>
  <c r="AH76" i="1"/>
  <c r="AL90" i="1"/>
  <c r="BR38" i="1"/>
  <c r="AT38" i="1"/>
  <c r="V38" i="1"/>
  <c r="AR38" i="1"/>
  <c r="BP38" i="1"/>
  <c r="BH38" i="1"/>
  <c r="AF38" i="1"/>
  <c r="BF38" i="1"/>
  <c r="AD38" i="1"/>
  <c r="AX38" i="1"/>
  <c r="AV38" i="1"/>
  <c r="Q38" i="1"/>
  <c r="AP38" i="1"/>
  <c r="AN38" i="1"/>
  <c r="BD38" i="1"/>
  <c r="L66" i="1"/>
  <c r="R66" i="1" s="1"/>
  <c r="G66" i="1"/>
  <c r="H66" i="1" s="1"/>
  <c r="BJ38" i="1"/>
  <c r="BL49" i="1"/>
  <c r="BL28" i="1"/>
  <c r="G32" i="1"/>
  <c r="H32" i="1" s="1"/>
  <c r="BN38" i="1"/>
  <c r="R51" i="1"/>
  <c r="BW51" i="1"/>
  <c r="G6" i="1"/>
  <c r="H6" i="1" s="1"/>
  <c r="L6" i="1"/>
  <c r="L7" i="1"/>
  <c r="R7" i="1" s="1"/>
  <c r="G10" i="1"/>
  <c r="H10" i="1" s="1"/>
  <c r="G11" i="1"/>
  <c r="H11" i="1" s="1"/>
  <c r="BD16" i="1"/>
  <c r="G19" i="1"/>
  <c r="H19" i="1" s="1"/>
  <c r="L19" i="1"/>
  <c r="R19" i="1" s="1"/>
  <c r="X38" i="1"/>
  <c r="BL21" i="1"/>
  <c r="AN21" i="1"/>
  <c r="BJ21" i="1"/>
  <c r="AL21" i="1"/>
  <c r="Q21" i="1"/>
  <c r="BD21" i="1"/>
  <c r="AB21" i="1"/>
  <c r="BB21" i="1"/>
  <c r="Z21" i="1"/>
  <c r="AP21" i="1"/>
  <c r="BP21" i="1"/>
  <c r="BT21" i="1"/>
  <c r="AJ21" i="1"/>
  <c r="BR21" i="1"/>
  <c r="AH21" i="1"/>
  <c r="AF21" i="1"/>
  <c r="BF21" i="1"/>
  <c r="BD29" i="1"/>
  <c r="AB38" i="1"/>
  <c r="BD74" i="1"/>
  <c r="AF74" i="1"/>
  <c r="BB74" i="1"/>
  <c r="AD74" i="1"/>
  <c r="BL74" i="1"/>
  <c r="AJ74" i="1"/>
  <c r="AT74" i="1"/>
  <c r="AR74" i="1"/>
  <c r="Q74" i="1"/>
  <c r="BN74" i="1"/>
  <c r="Z74" i="1"/>
  <c r="BJ74" i="1"/>
  <c r="X74" i="1"/>
  <c r="AV74" i="1"/>
  <c r="AL74" i="1"/>
  <c r="AP74" i="1"/>
  <c r="AN74" i="1"/>
  <c r="BR74" i="1"/>
  <c r="AR76" i="1"/>
  <c r="BP82" i="1"/>
  <c r="AR82" i="1"/>
  <c r="BB82" i="1"/>
  <c r="AB82" i="1"/>
  <c r="AZ82" i="1"/>
  <c r="Z82" i="1"/>
  <c r="BR82" i="1"/>
  <c r="AL82" i="1"/>
  <c r="BF82" i="1"/>
  <c r="V82" i="1"/>
  <c r="BD82" i="1"/>
  <c r="AX82" i="1"/>
  <c r="AV82" i="1"/>
  <c r="Q82" i="1"/>
  <c r="AP82" i="1"/>
  <c r="AN82" i="1"/>
  <c r="AJ82" i="1"/>
  <c r="AH82" i="1"/>
  <c r="AF82" i="1"/>
  <c r="AT90" i="1"/>
  <c r="AP16" i="1"/>
  <c r="BT16" i="1"/>
  <c r="BP28" i="1"/>
  <c r="AR28" i="1"/>
  <c r="AP28" i="1"/>
  <c r="BN28" i="1"/>
  <c r="BT28" i="1"/>
  <c r="AN28" i="1"/>
  <c r="BR28" i="1"/>
  <c r="AL28" i="1"/>
  <c r="Q28" i="1"/>
  <c r="AT28" i="1"/>
  <c r="G14" i="1"/>
  <c r="H14" i="1" s="1"/>
  <c r="L16" i="1"/>
  <c r="R16" i="1" s="1"/>
  <c r="AV28" i="1"/>
  <c r="BT29" i="1"/>
  <c r="AV29" i="1"/>
  <c r="X29" i="1"/>
  <c r="BR29" i="1"/>
  <c r="V29" i="1"/>
  <c r="AT29" i="1"/>
  <c r="BH29" i="1"/>
  <c r="AF29" i="1"/>
  <c r="BF29" i="1"/>
  <c r="AD29" i="1"/>
  <c r="AR29" i="1"/>
  <c r="G30" i="1"/>
  <c r="H30" i="1" s="1"/>
  <c r="BT34" i="1"/>
  <c r="AV34" i="1"/>
  <c r="X34" i="1"/>
  <c r="BR34" i="1"/>
  <c r="AT34" i="1"/>
  <c r="V34" i="1"/>
  <c r="BL34" i="1"/>
  <c r="AJ34" i="1"/>
  <c r="BJ34" i="1"/>
  <c r="AH34" i="1"/>
  <c r="AR34" i="1"/>
  <c r="G35" i="1"/>
  <c r="H35" i="1" s="1"/>
  <c r="L49" i="1"/>
  <c r="R49" i="1" s="1"/>
  <c r="AZ49" i="1"/>
  <c r="G51" i="1"/>
  <c r="H51" i="1" s="1"/>
  <c r="BH78" i="1"/>
  <c r="BT85" i="1"/>
  <c r="AV85" i="1"/>
  <c r="X85" i="1"/>
  <c r="AX85" i="1"/>
  <c r="V85" i="1"/>
  <c r="AT85" i="1"/>
  <c r="BP85" i="1"/>
  <c r="AL85" i="1"/>
  <c r="BN85" i="1"/>
  <c r="AJ85" i="1"/>
  <c r="BB85" i="1"/>
  <c r="AZ85" i="1"/>
  <c r="Q85" i="1"/>
  <c r="AN85" i="1"/>
  <c r="AH85" i="1"/>
  <c r="BH85" i="1"/>
  <c r="L88" i="1"/>
  <c r="R88" i="1" s="1"/>
  <c r="BN88" i="1"/>
  <c r="BT98" i="1"/>
  <c r="AV98" i="1"/>
  <c r="X98" i="1"/>
  <c r="BR98" i="1"/>
  <c r="AR98" i="1"/>
  <c r="BP98" i="1"/>
  <c r="AP98" i="1"/>
  <c r="AN98" i="1"/>
  <c r="AL98" i="1"/>
  <c r="BF98" i="1"/>
  <c r="V98" i="1"/>
  <c r="BD98" i="1"/>
  <c r="AX98" i="1"/>
  <c r="AT98" i="1"/>
  <c r="BH98" i="1"/>
  <c r="G102" i="1"/>
  <c r="H102" i="1" s="1"/>
  <c r="AX28" i="1"/>
  <c r="Q29" i="1"/>
  <c r="AX29" i="1"/>
  <c r="Q34" i="1"/>
  <c r="AX34" i="1"/>
  <c r="L85" i="1"/>
  <c r="R85" i="1" s="1"/>
  <c r="BJ85" i="1"/>
  <c r="Q98" i="1"/>
  <c r="BJ98" i="1"/>
  <c r="BL16" i="1"/>
  <c r="AN16" i="1"/>
  <c r="BJ16" i="1"/>
  <c r="AJ16" i="1"/>
  <c r="BH16" i="1"/>
  <c r="AH16" i="1"/>
  <c r="BT49" i="1"/>
  <c r="AV49" i="1"/>
  <c r="X49" i="1"/>
  <c r="BJ49" i="1"/>
  <c r="AJ49" i="1"/>
  <c r="BH49" i="1"/>
  <c r="AH49" i="1"/>
  <c r="AT49" i="1"/>
  <c r="AR49" i="1"/>
  <c r="Q49" i="1"/>
  <c r="AX49" i="1"/>
  <c r="L69" i="1"/>
  <c r="R69" i="1" s="1"/>
  <c r="G69" i="1"/>
  <c r="H69" i="1" s="1"/>
  <c r="BL78" i="1"/>
  <c r="AN78" i="1"/>
  <c r="BB78" i="1"/>
  <c r="AB78" i="1"/>
  <c r="AZ78" i="1"/>
  <c r="Z78" i="1"/>
  <c r="AV78" i="1"/>
  <c r="AT78" i="1"/>
  <c r="AR78" i="1"/>
  <c r="Q78" i="1"/>
  <c r="BT78" i="1"/>
  <c r="AH78" i="1"/>
  <c r="BR78" i="1"/>
  <c r="AF78" i="1"/>
  <c r="BF78" i="1"/>
  <c r="BP88" i="1"/>
  <c r="AR88" i="1"/>
  <c r="BH88" i="1"/>
  <c r="AH88" i="1"/>
  <c r="BF88" i="1"/>
  <c r="AF88" i="1"/>
  <c r="BD88" i="1"/>
  <c r="Z88" i="1"/>
  <c r="BB88" i="1"/>
  <c r="X88" i="1"/>
  <c r="AN88" i="1"/>
  <c r="AL88" i="1"/>
  <c r="BJ88" i="1"/>
  <c r="AZ88" i="1"/>
  <c r="Q88" i="1"/>
  <c r="BL88" i="1"/>
  <c r="Q16" i="1"/>
  <c r="AT16" i="1"/>
  <c r="S105" i="1"/>
  <c r="C111" i="1" s="1"/>
  <c r="E111" i="1" s="1"/>
  <c r="AF8" i="1"/>
  <c r="BX8" i="1" s="1"/>
  <c r="AV16" i="1"/>
  <c r="AZ28" i="1"/>
  <c r="AZ29" i="1"/>
  <c r="AZ34" i="1"/>
  <c r="AX40" i="1"/>
  <c r="Z40" i="1"/>
  <c r="BX40" i="1" s="1"/>
  <c r="BT40" i="1"/>
  <c r="AV40" i="1"/>
  <c r="X40" i="1"/>
  <c r="BJ40" i="1"/>
  <c r="AH40" i="1"/>
  <c r="BH40" i="1"/>
  <c r="AF40" i="1"/>
  <c r="AR40" i="1"/>
  <c r="BD49" i="1"/>
  <c r="G68" i="1"/>
  <c r="H68" i="1" s="1"/>
  <c r="G77" i="1"/>
  <c r="H77" i="1" s="1"/>
  <c r="BN78" i="1"/>
  <c r="G80" i="1"/>
  <c r="H80" i="1" s="1"/>
  <c r="BL85" i="1"/>
  <c r="BT88" i="1"/>
  <c r="BT93" i="1"/>
  <c r="AV93" i="1"/>
  <c r="X93" i="1"/>
  <c r="BL93" i="1"/>
  <c r="AL93" i="1"/>
  <c r="BX93" i="1" s="1"/>
  <c r="BJ93" i="1"/>
  <c r="AJ93" i="1"/>
  <c r="BP93" i="1"/>
  <c r="AH93" i="1"/>
  <c r="BN93" i="1"/>
  <c r="AF93" i="1"/>
  <c r="BD93" i="1"/>
  <c r="BB93" i="1"/>
  <c r="AR93" i="1"/>
  <c r="AP93" i="1"/>
  <c r="AZ93" i="1"/>
  <c r="BL98" i="1"/>
  <c r="BP81" i="1"/>
  <c r="AR81" i="1"/>
  <c r="AX81" i="1"/>
  <c r="X81" i="1"/>
  <c r="AV81" i="1"/>
  <c r="V81" i="1"/>
  <c r="BB81" i="1"/>
  <c r="BL81" i="1"/>
  <c r="AF81" i="1"/>
  <c r="BJ81" i="1"/>
  <c r="AD81" i="1"/>
  <c r="AT81" i="1"/>
  <c r="E114" i="1"/>
  <c r="G60" i="1"/>
  <c r="H60" i="1" s="1"/>
  <c r="Q81" i="1"/>
  <c r="AZ81" i="1"/>
  <c r="AJ8" i="1"/>
  <c r="G55" i="1"/>
  <c r="H55" i="1" s="1"/>
  <c r="G59" i="1"/>
  <c r="H59" i="1" s="1"/>
  <c r="G63" i="1"/>
  <c r="H63" i="1" s="1"/>
  <c r="AJ87" i="1"/>
  <c r="BT92" i="1"/>
  <c r="AV92" i="1"/>
  <c r="X92" i="1"/>
  <c r="BF92" i="1"/>
  <c r="AF92" i="1"/>
  <c r="BD92" i="1"/>
  <c r="AD92" i="1"/>
  <c r="BX92" i="1" s="1"/>
  <c r="AP92" i="1"/>
  <c r="BP87" i="1"/>
  <c r="AR87" i="1"/>
  <c r="BD87" i="1"/>
  <c r="AD87" i="1"/>
  <c r="BB87" i="1"/>
  <c r="AB87" i="1"/>
  <c r="BX87" i="1" s="1"/>
  <c r="AL87" i="1"/>
  <c r="BR87" i="1"/>
  <c r="BT101" i="1"/>
  <c r="AV101" i="1"/>
  <c r="X101" i="1"/>
  <c r="AL101" i="1"/>
  <c r="BX101" i="1" s="1"/>
  <c r="BL101" i="1"/>
  <c r="BH69" i="1" l="1"/>
  <c r="AJ69" i="1"/>
  <c r="BB69" i="1"/>
  <c r="AB69" i="1"/>
  <c r="BP69" i="1"/>
  <c r="AN69" i="1"/>
  <c r="BN69" i="1"/>
  <c r="AL69" i="1"/>
  <c r="BL69" i="1"/>
  <c r="AD69" i="1"/>
  <c r="BJ69" i="1"/>
  <c r="Z69" i="1"/>
  <c r="BD69" i="1"/>
  <c r="AV69" i="1"/>
  <c r="AZ69" i="1"/>
  <c r="AX69" i="1"/>
  <c r="Q69" i="1"/>
  <c r="AP69" i="1"/>
  <c r="X69" i="1"/>
  <c r="V69" i="1"/>
  <c r="BT69" i="1"/>
  <c r="AH69" i="1"/>
  <c r="AF69" i="1"/>
  <c r="BR69" i="1"/>
  <c r="AR69" i="1"/>
  <c r="BF69" i="1"/>
  <c r="AT69" i="1"/>
  <c r="BH66" i="1"/>
  <c r="AJ66" i="1"/>
  <c r="BJ66" i="1"/>
  <c r="BB66" i="1"/>
  <c r="AB66" i="1"/>
  <c r="AZ66" i="1"/>
  <c r="Z66" i="1"/>
  <c r="AP66" i="1"/>
  <c r="BT66" i="1"/>
  <c r="AN66" i="1"/>
  <c r="BP66" i="1"/>
  <c r="AD66" i="1"/>
  <c r="BF66" i="1"/>
  <c r="BN66" i="1"/>
  <c r="X66" i="1"/>
  <c r="BL66" i="1"/>
  <c r="V66" i="1"/>
  <c r="AH66" i="1"/>
  <c r="Q66" i="1"/>
  <c r="BD66" i="1"/>
  <c r="AX66" i="1"/>
  <c r="AF66" i="1"/>
  <c r="BR66" i="1"/>
  <c r="AT66" i="1"/>
  <c r="AL66" i="1"/>
  <c r="AV66" i="1"/>
  <c r="AR66" i="1"/>
  <c r="BX17" i="1"/>
  <c r="BH57" i="1"/>
  <c r="AJ57" i="1"/>
  <c r="AV57" i="1"/>
  <c r="V57" i="1"/>
  <c r="BT57" i="1"/>
  <c r="AT57" i="1"/>
  <c r="BR57" i="1"/>
  <c r="AN57" i="1"/>
  <c r="BP57" i="1"/>
  <c r="AL57" i="1"/>
  <c r="AF57" i="1"/>
  <c r="BJ57" i="1"/>
  <c r="Z57" i="1"/>
  <c r="BN57" i="1"/>
  <c r="AD57" i="1"/>
  <c r="BL57" i="1"/>
  <c r="AB57" i="1"/>
  <c r="BB57" i="1"/>
  <c r="AP57" i="1"/>
  <c r="AH57" i="1"/>
  <c r="X57" i="1"/>
  <c r="AZ57" i="1"/>
  <c r="AX57" i="1"/>
  <c r="AR57" i="1"/>
  <c r="BD57" i="1"/>
  <c r="Q57" i="1"/>
  <c r="BF57" i="1"/>
  <c r="BX83" i="1"/>
  <c r="BT37" i="1"/>
  <c r="AV37" i="1"/>
  <c r="X37" i="1"/>
  <c r="BR37" i="1"/>
  <c r="V37" i="1"/>
  <c r="AT37" i="1"/>
  <c r="AZ37" i="1"/>
  <c r="AX37" i="1"/>
  <c r="BJ37" i="1"/>
  <c r="AD37" i="1"/>
  <c r="BD37" i="1"/>
  <c r="BH37" i="1"/>
  <c r="AB37" i="1"/>
  <c r="BF37" i="1"/>
  <c r="Z37" i="1"/>
  <c r="BN37" i="1"/>
  <c r="AR37" i="1"/>
  <c r="AJ37" i="1"/>
  <c r="BL37" i="1"/>
  <c r="Q37" i="1"/>
  <c r="BB37" i="1"/>
  <c r="AP37" i="1"/>
  <c r="AL37" i="1"/>
  <c r="AN37" i="1"/>
  <c r="AF37" i="1"/>
  <c r="BP37" i="1"/>
  <c r="AH37" i="1"/>
  <c r="BV37" i="1"/>
  <c r="BX84" i="1"/>
  <c r="BL13" i="1"/>
  <c r="AN13" i="1"/>
  <c r="BR13" i="1"/>
  <c r="AR13" i="1"/>
  <c r="BD13" i="1"/>
  <c r="AB13" i="1"/>
  <c r="BB13" i="1"/>
  <c r="Z13" i="1"/>
  <c r="AZ13" i="1"/>
  <c r="AX13" i="1"/>
  <c r="V13" i="1"/>
  <c r="X13" i="1"/>
  <c r="AH13" i="1"/>
  <c r="BP13" i="1"/>
  <c r="AD13" i="1"/>
  <c r="BJ13" i="1"/>
  <c r="BT13" i="1"/>
  <c r="AF13" i="1"/>
  <c r="BN13" i="1"/>
  <c r="Q13" i="1"/>
  <c r="BF13" i="1"/>
  <c r="BH13" i="1"/>
  <c r="AV13" i="1"/>
  <c r="AT13" i="1"/>
  <c r="AL13" i="1"/>
  <c r="AJ13" i="1"/>
  <c r="AP13" i="1"/>
  <c r="BX95" i="1"/>
  <c r="BX49" i="1"/>
  <c r="BX21" i="1"/>
  <c r="BT46" i="1"/>
  <c r="AV46" i="1"/>
  <c r="X46" i="1"/>
  <c r="BP46" i="1"/>
  <c r="AP46" i="1"/>
  <c r="BN46" i="1"/>
  <c r="AN46" i="1"/>
  <c r="Q46" i="1"/>
  <c r="AX46" i="1"/>
  <c r="AT46" i="1"/>
  <c r="BF46" i="1"/>
  <c r="V46" i="1"/>
  <c r="AZ46" i="1"/>
  <c r="BD46" i="1"/>
  <c r="BB46" i="1"/>
  <c r="AR46" i="1"/>
  <c r="AH46" i="1"/>
  <c r="AL46" i="1"/>
  <c r="AJ46" i="1"/>
  <c r="AB46" i="1"/>
  <c r="AF46" i="1"/>
  <c r="AD46" i="1"/>
  <c r="Z46" i="1"/>
  <c r="BL46" i="1"/>
  <c r="BH46" i="1"/>
  <c r="BR46" i="1"/>
  <c r="BJ46" i="1"/>
  <c r="BH59" i="1"/>
  <c r="AJ59" i="1"/>
  <c r="BJ59" i="1"/>
  <c r="AH59" i="1"/>
  <c r="BF59" i="1"/>
  <c r="AF59" i="1"/>
  <c r="AX59" i="1"/>
  <c r="AV59" i="1"/>
  <c r="BR59" i="1"/>
  <c r="AD59" i="1"/>
  <c r="BL59" i="1"/>
  <c r="X59" i="1"/>
  <c r="BP59" i="1"/>
  <c r="AB59" i="1"/>
  <c r="BN59" i="1"/>
  <c r="Z59" i="1"/>
  <c r="BT59" i="1"/>
  <c r="AT59" i="1"/>
  <c r="AR59" i="1"/>
  <c r="BD59" i="1"/>
  <c r="Q59" i="1"/>
  <c r="BB59" i="1"/>
  <c r="AZ59" i="1"/>
  <c r="AP59" i="1"/>
  <c r="AN59" i="1"/>
  <c r="AL59" i="1"/>
  <c r="V59" i="1"/>
  <c r="BP51" i="1"/>
  <c r="AR51" i="1"/>
  <c r="BR51" i="1"/>
  <c r="AP51" i="1"/>
  <c r="BN51" i="1"/>
  <c r="AN51" i="1"/>
  <c r="AZ51" i="1"/>
  <c r="V51" i="1"/>
  <c r="AX51" i="1"/>
  <c r="AT51" i="1"/>
  <c r="BV51" i="1"/>
  <c r="AH51" i="1"/>
  <c r="AL51" i="1"/>
  <c r="AJ51" i="1"/>
  <c r="BL51" i="1"/>
  <c r="BF51" i="1"/>
  <c r="BJ51" i="1"/>
  <c r="BH51" i="1"/>
  <c r="Q51" i="1"/>
  <c r="BX51" i="1" s="1"/>
  <c r="BD51" i="1"/>
  <c r="BB51" i="1"/>
  <c r="AV51" i="1"/>
  <c r="AF51" i="1"/>
  <c r="BT51" i="1"/>
  <c r="X51" i="1"/>
  <c r="AD51" i="1"/>
  <c r="AB51" i="1"/>
  <c r="Z51" i="1"/>
  <c r="BD6" i="1"/>
  <c r="AF6" i="1"/>
  <c r="BR6" i="1"/>
  <c r="AR6" i="1"/>
  <c r="BP6" i="1"/>
  <c r="AP6" i="1"/>
  <c r="AN6" i="1"/>
  <c r="AL6" i="1"/>
  <c r="BN6" i="1"/>
  <c r="Q6" i="1"/>
  <c r="BL6" i="1"/>
  <c r="AZ6" i="1"/>
  <c r="AX6" i="1"/>
  <c r="AV6" i="1"/>
  <c r="AT6" i="1"/>
  <c r="AJ6" i="1"/>
  <c r="AH6" i="1"/>
  <c r="AD6" i="1"/>
  <c r="BT6" i="1"/>
  <c r="BF6" i="1"/>
  <c r="AB6" i="1"/>
  <c r="X6" i="1"/>
  <c r="BJ6" i="1"/>
  <c r="BH6" i="1"/>
  <c r="BB6" i="1"/>
  <c r="Z6" i="1"/>
  <c r="BH64" i="1"/>
  <c r="AJ64" i="1"/>
  <c r="BP64" i="1"/>
  <c r="AP64" i="1"/>
  <c r="BN64" i="1"/>
  <c r="AN64" i="1"/>
  <c r="Q64" i="1"/>
  <c r="BJ64" i="1"/>
  <c r="AD64" i="1"/>
  <c r="BF64" i="1"/>
  <c r="AB64" i="1"/>
  <c r="BT64" i="1"/>
  <c r="AF64" i="1"/>
  <c r="BD64" i="1"/>
  <c r="BR64" i="1"/>
  <c r="Z64" i="1"/>
  <c r="BL64" i="1"/>
  <c r="X64" i="1"/>
  <c r="V64" i="1"/>
  <c r="AZ64" i="1"/>
  <c r="BB64" i="1"/>
  <c r="AX64" i="1"/>
  <c r="AV64" i="1"/>
  <c r="AL64" i="1"/>
  <c r="AH64" i="1"/>
  <c r="AT64" i="1"/>
  <c r="AR64" i="1"/>
  <c r="BT43" i="1"/>
  <c r="AX43" i="1"/>
  <c r="Z43" i="1"/>
  <c r="AV43" i="1"/>
  <c r="X43" i="1"/>
  <c r="AT43" i="1"/>
  <c r="AR43" i="1"/>
  <c r="BH43" i="1"/>
  <c r="AB43" i="1"/>
  <c r="BB43" i="1"/>
  <c r="BF43" i="1"/>
  <c r="V43" i="1"/>
  <c r="BD43" i="1"/>
  <c r="BP43" i="1"/>
  <c r="BJ43" i="1"/>
  <c r="AZ43" i="1"/>
  <c r="AP43" i="1"/>
  <c r="BN43" i="1"/>
  <c r="BL43" i="1"/>
  <c r="Q43" i="1"/>
  <c r="AN43" i="1"/>
  <c r="AL43" i="1"/>
  <c r="AF43" i="1"/>
  <c r="BR43" i="1"/>
  <c r="AJ43" i="1"/>
  <c r="AD43" i="1"/>
  <c r="AH43" i="1"/>
  <c r="BX42" i="1"/>
  <c r="BT102" i="1"/>
  <c r="AV102" i="1"/>
  <c r="X102" i="1"/>
  <c r="BR102" i="1"/>
  <c r="AR102" i="1"/>
  <c r="BP102" i="1"/>
  <c r="AP102" i="1"/>
  <c r="AZ102" i="1"/>
  <c r="AX102" i="1"/>
  <c r="BL102" i="1"/>
  <c r="AD102" i="1"/>
  <c r="BJ102" i="1"/>
  <c r="AB102" i="1"/>
  <c r="BB102" i="1"/>
  <c r="AT102" i="1"/>
  <c r="BN102" i="1"/>
  <c r="BD102" i="1"/>
  <c r="BH102" i="1"/>
  <c r="Q102" i="1"/>
  <c r="BF102" i="1"/>
  <c r="AN102" i="1"/>
  <c r="AF102" i="1"/>
  <c r="Z102" i="1"/>
  <c r="V102" i="1"/>
  <c r="AL102" i="1"/>
  <c r="AJ102" i="1"/>
  <c r="AH102" i="1"/>
  <c r="BL53" i="1"/>
  <c r="AN53" i="1"/>
  <c r="AZ53" i="1"/>
  <c r="Z53" i="1"/>
  <c r="AX53" i="1"/>
  <c r="X53" i="1"/>
  <c r="BD53" i="1"/>
  <c r="V53" i="1"/>
  <c r="BB53" i="1"/>
  <c r="BR53" i="1"/>
  <c r="AH53" i="1"/>
  <c r="BJ53" i="1"/>
  <c r="AB53" i="1"/>
  <c r="BP53" i="1"/>
  <c r="AF53" i="1"/>
  <c r="BN53" i="1"/>
  <c r="AD53" i="1"/>
  <c r="BV53" i="1"/>
  <c r="Q53" i="1"/>
  <c r="BF53" i="1"/>
  <c r="AV53" i="1"/>
  <c r="AT53" i="1"/>
  <c r="BT53" i="1"/>
  <c r="BH53" i="1"/>
  <c r="AR53" i="1"/>
  <c r="AP53" i="1"/>
  <c r="AL53" i="1"/>
  <c r="AJ53" i="1"/>
  <c r="BL80" i="1"/>
  <c r="AN80" i="1"/>
  <c r="BP80" i="1"/>
  <c r="AP80" i="1"/>
  <c r="Q80" i="1"/>
  <c r="BN80" i="1"/>
  <c r="AL80" i="1"/>
  <c r="BF80" i="1"/>
  <c r="AB80" i="1"/>
  <c r="BT80" i="1"/>
  <c r="AH80" i="1"/>
  <c r="BR80" i="1"/>
  <c r="AF80" i="1"/>
  <c r="AT80" i="1"/>
  <c r="AR80" i="1"/>
  <c r="BB80" i="1"/>
  <c r="AV80" i="1"/>
  <c r="AZ80" i="1"/>
  <c r="AX80" i="1"/>
  <c r="AJ80" i="1"/>
  <c r="BD80" i="1"/>
  <c r="AD80" i="1"/>
  <c r="Z80" i="1"/>
  <c r="X80" i="1"/>
  <c r="V80" i="1"/>
  <c r="BJ80" i="1"/>
  <c r="BH80" i="1"/>
  <c r="BX88" i="1"/>
  <c r="BL25" i="1"/>
  <c r="AN25" i="1"/>
  <c r="BJ25" i="1"/>
  <c r="AL25" i="1"/>
  <c r="Q25" i="1"/>
  <c r="BD25" i="1"/>
  <c r="AB25" i="1"/>
  <c r="BB25" i="1"/>
  <c r="Z25" i="1"/>
  <c r="BN25" i="1"/>
  <c r="AD25" i="1"/>
  <c r="AZ25" i="1"/>
  <c r="BH25" i="1"/>
  <c r="X25" i="1"/>
  <c r="BF25" i="1"/>
  <c r="V25" i="1"/>
  <c r="AF25" i="1"/>
  <c r="BT25" i="1"/>
  <c r="BR25" i="1"/>
  <c r="BP25" i="1"/>
  <c r="AV25" i="1"/>
  <c r="AX25" i="1"/>
  <c r="AR25" i="1"/>
  <c r="AP25" i="1"/>
  <c r="AJ25" i="1"/>
  <c r="AT25" i="1"/>
  <c r="AH25" i="1"/>
  <c r="BF72" i="1"/>
  <c r="AH72" i="1"/>
  <c r="BT72" i="1"/>
  <c r="AT72" i="1"/>
  <c r="AV72" i="1"/>
  <c r="AR72" i="1"/>
  <c r="BR72" i="1"/>
  <c r="AL72" i="1"/>
  <c r="BP72" i="1"/>
  <c r="AJ72" i="1"/>
  <c r="BN72" i="1"/>
  <c r="AB72" i="1"/>
  <c r="BH72" i="1"/>
  <c r="V72" i="1"/>
  <c r="BL72" i="1"/>
  <c r="Z72" i="1"/>
  <c r="BJ72" i="1"/>
  <c r="X72" i="1"/>
  <c r="AN72" i="1"/>
  <c r="AF72" i="1"/>
  <c r="AD72" i="1"/>
  <c r="Q72" i="1"/>
  <c r="BD72" i="1"/>
  <c r="AX72" i="1"/>
  <c r="BB72" i="1"/>
  <c r="AZ72" i="1"/>
  <c r="AP72" i="1"/>
  <c r="BL26" i="1"/>
  <c r="AN26" i="1"/>
  <c r="AL26" i="1"/>
  <c r="Q26" i="1"/>
  <c r="BJ26" i="1"/>
  <c r="BT26" i="1"/>
  <c r="AR26" i="1"/>
  <c r="BR26" i="1"/>
  <c r="AP26" i="1"/>
  <c r="BF26" i="1"/>
  <c r="Z26" i="1"/>
  <c r="BB26" i="1"/>
  <c r="BD26" i="1"/>
  <c r="X26" i="1"/>
  <c r="V26" i="1"/>
  <c r="AZ26" i="1"/>
  <c r="AX26" i="1"/>
  <c r="AT26" i="1"/>
  <c r="AD26" i="1"/>
  <c r="AV26" i="1"/>
  <c r="AJ26" i="1"/>
  <c r="AF26" i="1"/>
  <c r="AH26" i="1"/>
  <c r="BP26" i="1"/>
  <c r="BN26" i="1"/>
  <c r="BH26" i="1"/>
  <c r="AB26" i="1"/>
  <c r="BX41" i="1"/>
  <c r="BX75" i="1"/>
  <c r="BX71" i="1"/>
  <c r="BL24" i="1"/>
  <c r="AN24" i="1"/>
  <c r="BJ24" i="1"/>
  <c r="AL24" i="1"/>
  <c r="Q24" i="1"/>
  <c r="BT24" i="1"/>
  <c r="AR24" i="1"/>
  <c r="BR24" i="1"/>
  <c r="AP24" i="1"/>
  <c r="BN24" i="1"/>
  <c r="AD24" i="1"/>
  <c r="X24" i="1"/>
  <c r="BH24" i="1"/>
  <c r="AB24" i="1"/>
  <c r="BF24" i="1"/>
  <c r="Z24" i="1"/>
  <c r="BD24" i="1"/>
  <c r="AX24" i="1"/>
  <c r="AT24" i="1"/>
  <c r="AH24" i="1"/>
  <c r="AV24" i="1"/>
  <c r="AJ24" i="1"/>
  <c r="AF24" i="1"/>
  <c r="V24" i="1"/>
  <c r="BP24" i="1"/>
  <c r="BB24" i="1"/>
  <c r="AZ24" i="1"/>
  <c r="BX15" i="1"/>
  <c r="BX94" i="1"/>
  <c r="BT35" i="1"/>
  <c r="AV35" i="1"/>
  <c r="X35" i="1"/>
  <c r="BR35" i="1"/>
  <c r="AT35" i="1"/>
  <c r="V35" i="1"/>
  <c r="AZ35" i="1"/>
  <c r="AX35" i="1"/>
  <c r="AN35" i="1"/>
  <c r="BN35" i="1"/>
  <c r="AH35" i="1"/>
  <c r="AL35" i="1"/>
  <c r="BP35" i="1"/>
  <c r="AJ35" i="1"/>
  <c r="BL35" i="1"/>
  <c r="BF35" i="1"/>
  <c r="Q35" i="1"/>
  <c r="BD35" i="1"/>
  <c r="BJ35" i="1"/>
  <c r="BH35" i="1"/>
  <c r="AR35" i="1"/>
  <c r="BB35" i="1"/>
  <c r="AP35" i="1"/>
  <c r="AF35" i="1"/>
  <c r="AD35" i="1"/>
  <c r="AB35" i="1"/>
  <c r="Z35" i="1"/>
  <c r="BT97" i="1"/>
  <c r="AV97" i="1"/>
  <c r="X97" i="1"/>
  <c r="BL97" i="1"/>
  <c r="AL97" i="1"/>
  <c r="BJ97" i="1"/>
  <c r="AJ97" i="1"/>
  <c r="BB97" i="1"/>
  <c r="V97" i="1"/>
  <c r="AZ97" i="1"/>
  <c r="BF97" i="1"/>
  <c r="BD97" i="1"/>
  <c r="AH97" i="1"/>
  <c r="AF97" i="1"/>
  <c r="AR97" i="1"/>
  <c r="AD97" i="1"/>
  <c r="AB97" i="1"/>
  <c r="AP97" i="1"/>
  <c r="AN97" i="1"/>
  <c r="BN97" i="1"/>
  <c r="BH97" i="1"/>
  <c r="AX97" i="1"/>
  <c r="AT97" i="1"/>
  <c r="Z97" i="1"/>
  <c r="BP97" i="1"/>
  <c r="Q97" i="1"/>
  <c r="BR97" i="1"/>
  <c r="BH77" i="1"/>
  <c r="AJ77" i="1"/>
  <c r="BT77" i="1"/>
  <c r="AT77" i="1"/>
  <c r="BR77" i="1"/>
  <c r="AR77" i="1"/>
  <c r="BD77" i="1"/>
  <c r="Z77" i="1"/>
  <c r="AZ77" i="1"/>
  <c r="AX77" i="1"/>
  <c r="BP77" i="1"/>
  <c r="AD77" i="1"/>
  <c r="BN77" i="1"/>
  <c r="AB77" i="1"/>
  <c r="AP77" i="1"/>
  <c r="AH77" i="1"/>
  <c r="AN77" i="1"/>
  <c r="AL77" i="1"/>
  <c r="AF77" i="1"/>
  <c r="BF77" i="1"/>
  <c r="Q77" i="1"/>
  <c r="BL77" i="1"/>
  <c r="BJ77" i="1"/>
  <c r="BB77" i="1"/>
  <c r="AV77" i="1"/>
  <c r="X77" i="1"/>
  <c r="V77" i="1"/>
  <c r="BP32" i="1"/>
  <c r="AR32" i="1"/>
  <c r="AP32" i="1"/>
  <c r="BN32" i="1"/>
  <c r="BL32" i="1"/>
  <c r="AJ32" i="1"/>
  <c r="BJ32" i="1"/>
  <c r="AH32" i="1"/>
  <c r="BR32" i="1"/>
  <c r="AD32" i="1"/>
  <c r="BH32" i="1"/>
  <c r="AB32" i="1"/>
  <c r="BF32" i="1"/>
  <c r="Z32" i="1"/>
  <c r="BD32" i="1"/>
  <c r="X32" i="1"/>
  <c r="BB32" i="1"/>
  <c r="AT32" i="1"/>
  <c r="BT32" i="1"/>
  <c r="Q32" i="1"/>
  <c r="AZ32" i="1"/>
  <c r="AV32" i="1"/>
  <c r="AX32" i="1"/>
  <c r="AL32" i="1"/>
  <c r="AF32" i="1"/>
  <c r="AN32" i="1"/>
  <c r="V32" i="1"/>
  <c r="BL22" i="1"/>
  <c r="AN22" i="1"/>
  <c r="BJ22" i="1"/>
  <c r="AL22" i="1"/>
  <c r="Q22" i="1"/>
  <c r="BT22" i="1"/>
  <c r="AR22" i="1"/>
  <c r="BR22" i="1"/>
  <c r="AP22" i="1"/>
  <c r="AH22" i="1"/>
  <c r="BP22" i="1"/>
  <c r="AF22" i="1"/>
  <c r="BN22" i="1"/>
  <c r="AD22" i="1"/>
  <c r="BH22" i="1"/>
  <c r="AB22" i="1"/>
  <c r="AT22" i="1"/>
  <c r="Z22" i="1"/>
  <c r="BF22" i="1"/>
  <c r="AJ22" i="1"/>
  <c r="X22" i="1"/>
  <c r="V22" i="1"/>
  <c r="BB22" i="1"/>
  <c r="AZ22" i="1"/>
  <c r="AX22" i="1"/>
  <c r="AV22" i="1"/>
  <c r="BD22" i="1"/>
  <c r="BJ9" i="1"/>
  <c r="AL9" i="1"/>
  <c r="Q9" i="1"/>
  <c r="BP9" i="1"/>
  <c r="AP9" i="1"/>
  <c r="BN9" i="1"/>
  <c r="AN9" i="1"/>
  <c r="BH9" i="1"/>
  <c r="AH9" i="1"/>
  <c r="BL9" i="1"/>
  <c r="AJ9" i="1"/>
  <c r="AV9" i="1"/>
  <c r="BR9" i="1"/>
  <c r="AT9" i="1"/>
  <c r="AR9" i="1"/>
  <c r="AF9" i="1"/>
  <c r="AD9" i="1"/>
  <c r="BT9" i="1"/>
  <c r="AB9" i="1"/>
  <c r="Z9" i="1"/>
  <c r="BB9" i="1"/>
  <c r="AZ9" i="1"/>
  <c r="AX9" i="1"/>
  <c r="X9" i="1"/>
  <c r="V9" i="1"/>
  <c r="BF9" i="1"/>
  <c r="BD9" i="1"/>
  <c r="BX79" i="1"/>
  <c r="R86" i="1"/>
  <c r="BW86" i="1"/>
  <c r="BW105" i="1" s="1"/>
  <c r="C113" i="1" s="1"/>
  <c r="E113" i="1" s="1"/>
  <c r="BX36" i="1"/>
  <c r="BH60" i="1"/>
  <c r="AJ60" i="1"/>
  <c r="BP60" i="1"/>
  <c r="AP60" i="1"/>
  <c r="AN60" i="1"/>
  <c r="BN60" i="1"/>
  <c r="Q60" i="1"/>
  <c r="AR60" i="1"/>
  <c r="BT60" i="1"/>
  <c r="AL60" i="1"/>
  <c r="BR60" i="1"/>
  <c r="AD60" i="1"/>
  <c r="BF60" i="1"/>
  <c r="X60" i="1"/>
  <c r="BL60" i="1"/>
  <c r="AB60" i="1"/>
  <c r="BJ60" i="1"/>
  <c r="Z60" i="1"/>
  <c r="AX60" i="1"/>
  <c r="AF60" i="1"/>
  <c r="V60" i="1"/>
  <c r="AV60" i="1"/>
  <c r="AT60" i="1"/>
  <c r="AH60" i="1"/>
  <c r="BB60" i="1"/>
  <c r="AZ60" i="1"/>
  <c r="BD60" i="1"/>
  <c r="BH68" i="1"/>
  <c r="AJ68" i="1"/>
  <c r="AV68" i="1"/>
  <c r="V68" i="1"/>
  <c r="BB68" i="1"/>
  <c r="Z68" i="1"/>
  <c r="AZ68" i="1"/>
  <c r="X68" i="1"/>
  <c r="BP68" i="1"/>
  <c r="AH68" i="1"/>
  <c r="BN68" i="1"/>
  <c r="AF68" i="1"/>
  <c r="AT68" i="1"/>
  <c r="AN68" i="1"/>
  <c r="AR68" i="1"/>
  <c r="AP68" i="1"/>
  <c r="BJ68" i="1"/>
  <c r="AL68" i="1"/>
  <c r="AB68" i="1"/>
  <c r="BF68" i="1"/>
  <c r="BD68" i="1"/>
  <c r="AX68" i="1"/>
  <c r="AD68" i="1"/>
  <c r="BT68" i="1"/>
  <c r="BR68" i="1"/>
  <c r="BL68" i="1"/>
  <c r="Q68" i="1"/>
  <c r="BX98" i="1"/>
  <c r="BL14" i="1"/>
  <c r="AN14" i="1"/>
  <c r="AX14" i="1"/>
  <c r="X14" i="1"/>
  <c r="BR14" i="1"/>
  <c r="AP14" i="1"/>
  <c r="BP14" i="1"/>
  <c r="AL14" i="1"/>
  <c r="BN14" i="1"/>
  <c r="AJ14" i="1"/>
  <c r="BJ14" i="1"/>
  <c r="AH14" i="1"/>
  <c r="AT14" i="1"/>
  <c r="AD14" i="1"/>
  <c r="AR14" i="1"/>
  <c r="AF14" i="1"/>
  <c r="Z14" i="1"/>
  <c r="V14" i="1"/>
  <c r="AB14" i="1"/>
  <c r="BT14" i="1"/>
  <c r="BH14" i="1"/>
  <c r="AZ14" i="1"/>
  <c r="Q14" i="1"/>
  <c r="BD14" i="1"/>
  <c r="BB14" i="1"/>
  <c r="AV14" i="1"/>
  <c r="BF14" i="1"/>
  <c r="BT99" i="1"/>
  <c r="AV99" i="1"/>
  <c r="X99" i="1"/>
  <c r="AZ99" i="1"/>
  <c r="Z99" i="1"/>
  <c r="AX99" i="1"/>
  <c r="V99" i="1"/>
  <c r="BL99" i="1"/>
  <c r="AH99" i="1"/>
  <c r="BJ99" i="1"/>
  <c r="AF99" i="1"/>
  <c r="BF99" i="1"/>
  <c r="BD99" i="1"/>
  <c r="BH99" i="1"/>
  <c r="Q99" i="1"/>
  <c r="BB99" i="1"/>
  <c r="AN99" i="1"/>
  <c r="AD99" i="1"/>
  <c r="AB99" i="1"/>
  <c r="AL99" i="1"/>
  <c r="AJ99" i="1"/>
  <c r="AP99" i="1"/>
  <c r="BR99" i="1"/>
  <c r="BP99" i="1"/>
  <c r="AR99" i="1"/>
  <c r="BN99" i="1"/>
  <c r="AT99" i="1"/>
  <c r="BX65" i="1"/>
  <c r="BV105" i="1"/>
  <c r="C108" i="1" s="1"/>
  <c r="E108" i="1" s="1"/>
  <c r="BT48" i="1"/>
  <c r="AV48" i="1"/>
  <c r="X48" i="1"/>
  <c r="BD48" i="1"/>
  <c r="AD48" i="1"/>
  <c r="BB48" i="1"/>
  <c r="AB48" i="1"/>
  <c r="BF48" i="1"/>
  <c r="V48" i="1"/>
  <c r="AZ48" i="1"/>
  <c r="AX48" i="1"/>
  <c r="AT48" i="1"/>
  <c r="Q48" i="1"/>
  <c r="AR48" i="1"/>
  <c r="AP48" i="1"/>
  <c r="BJ48" i="1"/>
  <c r="AL48" i="1"/>
  <c r="AH48" i="1"/>
  <c r="Z48" i="1"/>
  <c r="BH48" i="1"/>
  <c r="AN48" i="1"/>
  <c r="AJ48" i="1"/>
  <c r="AF48" i="1"/>
  <c r="BR48" i="1"/>
  <c r="BN48" i="1"/>
  <c r="BL48" i="1"/>
  <c r="BP48" i="1"/>
  <c r="BX28" i="1"/>
  <c r="BH62" i="1"/>
  <c r="AJ62" i="1"/>
  <c r="BB62" i="1"/>
  <c r="AB62" i="1"/>
  <c r="AZ62" i="1"/>
  <c r="Z62" i="1"/>
  <c r="AX62" i="1"/>
  <c r="AV62" i="1"/>
  <c r="BP62" i="1"/>
  <c r="AF62" i="1"/>
  <c r="BJ62" i="1"/>
  <c r="V62" i="1"/>
  <c r="BN62" i="1"/>
  <c r="AD62" i="1"/>
  <c r="BL62" i="1"/>
  <c r="X62" i="1"/>
  <c r="BR62" i="1"/>
  <c r="Q62" i="1"/>
  <c r="AP62" i="1"/>
  <c r="AN62" i="1"/>
  <c r="BF62" i="1"/>
  <c r="BD62" i="1"/>
  <c r="AT62" i="1"/>
  <c r="AR62" i="1"/>
  <c r="AL62" i="1"/>
  <c r="AH62" i="1"/>
  <c r="BT62" i="1"/>
  <c r="BH70" i="1"/>
  <c r="AJ70" i="1"/>
  <c r="BJ70" i="1"/>
  <c r="AH70" i="1"/>
  <c r="AZ70" i="1"/>
  <c r="X70" i="1"/>
  <c r="AX70" i="1"/>
  <c r="V70" i="1"/>
  <c r="BL70" i="1"/>
  <c r="AB70" i="1"/>
  <c r="BF70" i="1"/>
  <c r="Z70" i="1"/>
  <c r="BR70" i="1"/>
  <c r="AD70" i="1"/>
  <c r="BD70" i="1"/>
  <c r="BP70" i="1"/>
  <c r="BN70" i="1"/>
  <c r="AV70" i="1"/>
  <c r="AR70" i="1"/>
  <c r="BV70" i="1"/>
  <c r="Q70" i="1"/>
  <c r="BT70" i="1"/>
  <c r="AT70" i="1"/>
  <c r="BB70" i="1"/>
  <c r="AL70" i="1"/>
  <c r="AP70" i="1"/>
  <c r="AN70" i="1"/>
  <c r="AF70" i="1"/>
  <c r="BX76" i="1"/>
  <c r="BX39" i="1"/>
  <c r="BL11" i="1"/>
  <c r="AN11" i="1"/>
  <c r="BD11" i="1"/>
  <c r="AD11" i="1"/>
  <c r="BH11" i="1"/>
  <c r="AF11" i="1"/>
  <c r="BF11" i="1"/>
  <c r="AB11" i="1"/>
  <c r="X11" i="1"/>
  <c r="BB11" i="1"/>
  <c r="Z11" i="1"/>
  <c r="AZ11" i="1"/>
  <c r="AX11" i="1"/>
  <c r="AT11" i="1"/>
  <c r="AV11" i="1"/>
  <c r="AR11" i="1"/>
  <c r="AP11" i="1"/>
  <c r="AL11" i="1"/>
  <c r="AJ11" i="1"/>
  <c r="Q11" i="1"/>
  <c r="BR11" i="1"/>
  <c r="BP11" i="1"/>
  <c r="BN11" i="1"/>
  <c r="BJ11" i="1"/>
  <c r="V11" i="1"/>
  <c r="BT11" i="1"/>
  <c r="AH11" i="1"/>
  <c r="BH56" i="1"/>
  <c r="AJ56" i="1"/>
  <c r="BP56" i="1"/>
  <c r="AP56" i="1"/>
  <c r="BN56" i="1"/>
  <c r="AN56" i="1"/>
  <c r="Q56" i="1"/>
  <c r="AZ56" i="1"/>
  <c r="V56" i="1"/>
  <c r="AX56" i="1"/>
  <c r="BT56" i="1"/>
  <c r="AF56" i="1"/>
  <c r="BJ56" i="1"/>
  <c r="Z56" i="1"/>
  <c r="BR56" i="1"/>
  <c r="AD56" i="1"/>
  <c r="BL56" i="1"/>
  <c r="AB56" i="1"/>
  <c r="BB56" i="1"/>
  <c r="AV56" i="1"/>
  <c r="BF56" i="1"/>
  <c r="BD56" i="1"/>
  <c r="AT56" i="1"/>
  <c r="AR56" i="1"/>
  <c r="AL56" i="1"/>
  <c r="AH56" i="1"/>
  <c r="X56" i="1"/>
  <c r="BX34" i="1"/>
  <c r="BL10" i="1"/>
  <c r="AN10" i="1"/>
  <c r="AX10" i="1"/>
  <c r="X10" i="1"/>
  <c r="AV10" i="1"/>
  <c r="V10" i="1"/>
  <c r="AT10" i="1"/>
  <c r="AR10" i="1"/>
  <c r="BT10" i="1"/>
  <c r="BR10" i="1"/>
  <c r="AZ10" i="1"/>
  <c r="AL10" i="1"/>
  <c r="AH10" i="1"/>
  <c r="BN10" i="1"/>
  <c r="AP10" i="1"/>
  <c r="AJ10" i="1"/>
  <c r="BP10" i="1"/>
  <c r="AF10" i="1"/>
  <c r="AD10" i="1"/>
  <c r="BF10" i="1"/>
  <c r="BD10" i="1"/>
  <c r="BB10" i="1"/>
  <c r="Z10" i="1"/>
  <c r="Q10" i="1"/>
  <c r="BJ10" i="1"/>
  <c r="BH10" i="1"/>
  <c r="AB10" i="1"/>
  <c r="BX7" i="1"/>
  <c r="BX78" i="1"/>
  <c r="BX85" i="1"/>
  <c r="BH67" i="1"/>
  <c r="AJ67" i="1"/>
  <c r="BP67" i="1"/>
  <c r="AP67" i="1"/>
  <c r="BR67" i="1"/>
  <c r="AN67" i="1"/>
  <c r="BN67" i="1"/>
  <c r="AL67" i="1"/>
  <c r="AH67" i="1"/>
  <c r="BT67" i="1"/>
  <c r="AF67" i="1"/>
  <c r="AR67" i="1"/>
  <c r="BL67" i="1"/>
  <c r="Z67" i="1"/>
  <c r="AD67" i="1"/>
  <c r="AB67" i="1"/>
  <c r="BD67" i="1"/>
  <c r="BJ67" i="1"/>
  <c r="Q67" i="1"/>
  <c r="BF67" i="1"/>
  <c r="BB67" i="1"/>
  <c r="AZ67" i="1"/>
  <c r="AX67" i="1"/>
  <c r="X67" i="1"/>
  <c r="AV67" i="1"/>
  <c r="V67" i="1"/>
  <c r="AT67" i="1"/>
  <c r="BH63" i="1"/>
  <c r="AJ63" i="1"/>
  <c r="BJ63" i="1"/>
  <c r="AH63" i="1"/>
  <c r="BF63" i="1"/>
  <c r="AF63" i="1"/>
  <c r="BT63" i="1"/>
  <c r="AP63" i="1"/>
  <c r="BR63" i="1"/>
  <c r="AN63" i="1"/>
  <c r="BN63" i="1"/>
  <c r="Z63" i="1"/>
  <c r="BB63" i="1"/>
  <c r="BL63" i="1"/>
  <c r="X63" i="1"/>
  <c r="BD63" i="1"/>
  <c r="V63" i="1"/>
  <c r="AR63" i="1"/>
  <c r="AL63" i="1"/>
  <c r="AD63" i="1"/>
  <c r="AB63" i="1"/>
  <c r="BP63" i="1"/>
  <c r="Q63" i="1"/>
  <c r="AV63" i="1"/>
  <c r="AZ63" i="1"/>
  <c r="AT63" i="1"/>
  <c r="AX63" i="1"/>
  <c r="BX29" i="1"/>
  <c r="L105" i="1"/>
  <c r="R6" i="1"/>
  <c r="R105" i="1" s="1"/>
  <c r="C110" i="1" s="1"/>
  <c r="E110" i="1" s="1"/>
  <c r="BX44" i="1"/>
  <c r="BX96" i="1"/>
  <c r="BX16" i="1"/>
  <c r="BX82" i="1"/>
  <c r="BX74" i="1"/>
  <c r="BL12" i="1"/>
  <c r="AN12" i="1"/>
  <c r="BJ12" i="1"/>
  <c r="AJ12" i="1"/>
  <c r="AT12" i="1"/>
  <c r="BT12" i="1"/>
  <c r="AR12" i="1"/>
  <c r="Q12" i="1"/>
  <c r="BX12" i="1" s="1"/>
  <c r="AL12" i="1"/>
  <c r="BR12" i="1"/>
  <c r="AP12" i="1"/>
  <c r="BP12" i="1"/>
  <c r="BH12" i="1"/>
  <c r="X12" i="1"/>
  <c r="BD12" i="1"/>
  <c r="BB12" i="1"/>
  <c r="AZ12" i="1"/>
  <c r="BF12" i="1"/>
  <c r="V12" i="1"/>
  <c r="AV12" i="1"/>
  <c r="AX12" i="1"/>
  <c r="BN12" i="1"/>
  <c r="AH12" i="1"/>
  <c r="AF12" i="1"/>
  <c r="AB12" i="1"/>
  <c r="AD12" i="1"/>
  <c r="Z12" i="1"/>
  <c r="BP33" i="1"/>
  <c r="AR33" i="1"/>
  <c r="BN33" i="1"/>
  <c r="AP33" i="1"/>
  <c r="AV33" i="1"/>
  <c r="AT33" i="1"/>
  <c r="BB33" i="1"/>
  <c r="V33" i="1"/>
  <c r="AZ33" i="1"/>
  <c r="AX33" i="1"/>
  <c r="AN33" i="1"/>
  <c r="AF33" i="1"/>
  <c r="AB33" i="1"/>
  <c r="BR33" i="1"/>
  <c r="Z33" i="1"/>
  <c r="BL33" i="1"/>
  <c r="BH33" i="1"/>
  <c r="AD33" i="1"/>
  <c r="BT33" i="1"/>
  <c r="X33" i="1"/>
  <c r="BJ33" i="1"/>
  <c r="BF33" i="1"/>
  <c r="BD33" i="1"/>
  <c r="AL33" i="1"/>
  <c r="AJ33" i="1"/>
  <c r="AH33" i="1"/>
  <c r="Q33" i="1"/>
  <c r="BH55" i="1"/>
  <c r="AJ55" i="1"/>
  <c r="BJ55" i="1"/>
  <c r="AH55" i="1"/>
  <c r="BF55" i="1"/>
  <c r="AF55" i="1"/>
  <c r="BL55" i="1"/>
  <c r="AB55" i="1"/>
  <c r="BD55" i="1"/>
  <c r="Z55" i="1"/>
  <c r="BT55" i="1"/>
  <c r="AL55" i="1"/>
  <c r="BN55" i="1"/>
  <c r="V55" i="1"/>
  <c r="BR55" i="1"/>
  <c r="AD55" i="1"/>
  <c r="BP55" i="1"/>
  <c r="X55" i="1"/>
  <c r="AP55" i="1"/>
  <c r="Q55" i="1"/>
  <c r="AN55" i="1"/>
  <c r="BB55" i="1"/>
  <c r="AZ55" i="1"/>
  <c r="AT55" i="1"/>
  <c r="AX55" i="1"/>
  <c r="AV55" i="1"/>
  <c r="AR55" i="1"/>
  <c r="BX38" i="1"/>
  <c r="BL27" i="1"/>
  <c r="AN27" i="1"/>
  <c r="BJ27" i="1"/>
  <c r="AL27" i="1"/>
  <c r="Q27" i="1"/>
  <c r="BD27" i="1"/>
  <c r="AB27" i="1"/>
  <c r="BB27" i="1"/>
  <c r="Z27" i="1"/>
  <c r="BF27" i="1"/>
  <c r="V27" i="1"/>
  <c r="AZ27" i="1"/>
  <c r="AX27" i="1"/>
  <c r="AV27" i="1"/>
  <c r="AD27" i="1"/>
  <c r="BR27" i="1"/>
  <c r="BP27" i="1"/>
  <c r="BN27" i="1"/>
  <c r="AT27" i="1"/>
  <c r="BT27" i="1"/>
  <c r="X27" i="1"/>
  <c r="BH27" i="1"/>
  <c r="AF27" i="1"/>
  <c r="AJ27" i="1"/>
  <c r="AR27" i="1"/>
  <c r="AP27" i="1"/>
  <c r="AH27" i="1"/>
  <c r="BX20" i="1"/>
  <c r="BP89" i="1"/>
  <c r="AR89" i="1"/>
  <c r="BL89" i="1"/>
  <c r="AL89" i="1"/>
  <c r="Q89" i="1"/>
  <c r="BJ89" i="1"/>
  <c r="AJ89" i="1"/>
  <c r="AV89" i="1"/>
  <c r="AT89" i="1"/>
  <c r="AH89" i="1"/>
  <c r="BT89" i="1"/>
  <c r="AF89" i="1"/>
  <c r="BN89" i="1"/>
  <c r="X89" i="1"/>
  <c r="BH89" i="1"/>
  <c r="V89" i="1"/>
  <c r="AX89" i="1"/>
  <c r="AD89" i="1"/>
  <c r="AB89" i="1"/>
  <c r="AP89" i="1"/>
  <c r="AN89" i="1"/>
  <c r="BD89" i="1"/>
  <c r="BB89" i="1"/>
  <c r="AZ89" i="1"/>
  <c r="Z89" i="1"/>
  <c r="BF89" i="1"/>
  <c r="BR89" i="1"/>
  <c r="BT30" i="1"/>
  <c r="AV30" i="1"/>
  <c r="X30" i="1"/>
  <c r="AT30" i="1"/>
  <c r="BR30" i="1"/>
  <c r="V30" i="1"/>
  <c r="AR30" i="1"/>
  <c r="AP30" i="1"/>
  <c r="Q30" i="1"/>
  <c r="AZ30" i="1"/>
  <c r="AX30" i="1"/>
  <c r="AN30" i="1"/>
  <c r="AL30" i="1"/>
  <c r="AD30" i="1"/>
  <c r="Z30" i="1"/>
  <c r="BL30" i="1"/>
  <c r="BJ30" i="1"/>
  <c r="BF30" i="1"/>
  <c r="BD30" i="1"/>
  <c r="BP30" i="1"/>
  <c r="AB30" i="1"/>
  <c r="BN30" i="1"/>
  <c r="BH30" i="1"/>
  <c r="BB30" i="1"/>
  <c r="AH30" i="1"/>
  <c r="AJ30" i="1"/>
  <c r="AF30" i="1"/>
  <c r="BT45" i="1"/>
  <c r="AV45" i="1"/>
  <c r="X45" i="1"/>
  <c r="BJ45" i="1"/>
  <c r="AJ45" i="1"/>
  <c r="BH45" i="1"/>
  <c r="AH45" i="1"/>
  <c r="BD45" i="1"/>
  <c r="Z45" i="1"/>
  <c r="BB45" i="1"/>
  <c r="V45" i="1"/>
  <c r="BF45" i="1"/>
  <c r="AT45" i="1"/>
  <c r="AZ45" i="1"/>
  <c r="AX45" i="1"/>
  <c r="Q45" i="1"/>
  <c r="AB45" i="1"/>
  <c r="BP45" i="1"/>
  <c r="BN45" i="1"/>
  <c r="AR45" i="1"/>
  <c r="BR45" i="1"/>
  <c r="BL45" i="1"/>
  <c r="AP45" i="1"/>
  <c r="AL45" i="1"/>
  <c r="AN45" i="1"/>
  <c r="AF45" i="1"/>
  <c r="AD45" i="1"/>
  <c r="BX47" i="1"/>
  <c r="BT86" i="1"/>
  <c r="AV86" i="1"/>
  <c r="X86" i="1"/>
  <c r="BD86" i="1"/>
  <c r="AD86" i="1"/>
  <c r="BB86" i="1"/>
  <c r="AB86" i="1"/>
  <c r="BH86" i="1"/>
  <c r="Z86" i="1"/>
  <c r="BF86" i="1"/>
  <c r="V86" i="1"/>
  <c r="AX86" i="1"/>
  <c r="Q86" i="1"/>
  <c r="AT86" i="1"/>
  <c r="BJ86" i="1"/>
  <c r="AZ86" i="1"/>
  <c r="AP86" i="1"/>
  <c r="AJ86" i="1"/>
  <c r="AH86" i="1"/>
  <c r="AN86" i="1"/>
  <c r="AL86" i="1"/>
  <c r="BP86" i="1"/>
  <c r="BN86" i="1"/>
  <c r="BL86" i="1"/>
  <c r="AR86" i="1"/>
  <c r="AF86" i="1"/>
  <c r="BV86" i="1"/>
  <c r="BR86" i="1"/>
  <c r="BH54" i="1"/>
  <c r="AJ54" i="1"/>
  <c r="BB54" i="1"/>
  <c r="AB54" i="1"/>
  <c r="Z54" i="1"/>
  <c r="AZ54" i="1"/>
  <c r="BT54" i="1"/>
  <c r="AP54" i="1"/>
  <c r="BR54" i="1"/>
  <c r="AN54" i="1"/>
  <c r="BP54" i="1"/>
  <c r="AF54" i="1"/>
  <c r="BJ54" i="1"/>
  <c r="BN54" i="1"/>
  <c r="AD54" i="1"/>
  <c r="BL54" i="1"/>
  <c r="X54" i="1"/>
  <c r="V54" i="1"/>
  <c r="AX54" i="1"/>
  <c r="AR54" i="1"/>
  <c r="AH54" i="1"/>
  <c r="AV54" i="1"/>
  <c r="AT54" i="1"/>
  <c r="AL54" i="1"/>
  <c r="BF54" i="1"/>
  <c r="BD54" i="1"/>
  <c r="Q54" i="1"/>
  <c r="BX18" i="1"/>
  <c r="BX81" i="1"/>
  <c r="BH61" i="1"/>
  <c r="AJ61" i="1"/>
  <c r="AV61" i="1"/>
  <c r="V61" i="1"/>
  <c r="BT61" i="1"/>
  <c r="AT61" i="1"/>
  <c r="BJ61" i="1"/>
  <c r="AD61" i="1"/>
  <c r="BF61" i="1"/>
  <c r="AB61" i="1"/>
  <c r="BR61" i="1"/>
  <c r="AH61" i="1"/>
  <c r="BL61" i="1"/>
  <c r="X61" i="1"/>
  <c r="BP61" i="1"/>
  <c r="AF61" i="1"/>
  <c r="BN61" i="1"/>
  <c r="Z61" i="1"/>
  <c r="AL61" i="1"/>
  <c r="Q61" i="1"/>
  <c r="BB61" i="1"/>
  <c r="BD61" i="1"/>
  <c r="AZ61" i="1"/>
  <c r="AR61" i="1"/>
  <c r="AP61" i="1"/>
  <c r="AN61" i="1"/>
  <c r="AX61" i="1"/>
  <c r="BX103" i="1"/>
  <c r="BL19" i="1"/>
  <c r="AN19" i="1"/>
  <c r="BJ19" i="1"/>
  <c r="BD19" i="1"/>
  <c r="AD19" i="1"/>
  <c r="BB19" i="1"/>
  <c r="AB19" i="1"/>
  <c r="AT19" i="1"/>
  <c r="Q19" i="1"/>
  <c r="AR19" i="1"/>
  <c r="BT19" i="1"/>
  <c r="AP19" i="1"/>
  <c r="AL19" i="1"/>
  <c r="BN19" i="1"/>
  <c r="BF19" i="1"/>
  <c r="AZ19" i="1"/>
  <c r="BH19" i="1"/>
  <c r="AV19" i="1"/>
  <c r="AJ19" i="1"/>
  <c r="AX19" i="1"/>
  <c r="BR19" i="1"/>
  <c r="AH19" i="1"/>
  <c r="AF19" i="1"/>
  <c r="Z19" i="1"/>
  <c r="V19" i="1"/>
  <c r="BP19" i="1"/>
  <c r="X19" i="1"/>
  <c r="BF73" i="1"/>
  <c r="AH73" i="1"/>
  <c r="BD73" i="1"/>
  <c r="AZ73" i="1"/>
  <c r="Z73" i="1"/>
  <c r="BL73" i="1"/>
  <c r="AF73" i="1"/>
  <c r="AD73" i="1"/>
  <c r="BJ73" i="1"/>
  <c r="BR73" i="1"/>
  <c r="AJ73" i="1"/>
  <c r="BP73" i="1"/>
  <c r="AB73" i="1"/>
  <c r="AN73" i="1"/>
  <c r="BT73" i="1"/>
  <c r="V73" i="1"/>
  <c r="AL73" i="1"/>
  <c r="BV73" i="1"/>
  <c r="X73" i="1"/>
  <c r="BB73" i="1"/>
  <c r="AV73" i="1"/>
  <c r="Q73" i="1"/>
  <c r="BN73" i="1"/>
  <c r="BH73" i="1"/>
  <c r="AX73" i="1"/>
  <c r="AR73" i="1"/>
  <c r="AT73" i="1"/>
  <c r="AP73" i="1"/>
  <c r="BX90" i="1"/>
  <c r="BX31" i="1"/>
  <c r="BH58" i="1"/>
  <c r="AJ58" i="1"/>
  <c r="BB58" i="1"/>
  <c r="AB58" i="1"/>
  <c r="AZ58" i="1"/>
  <c r="Z58" i="1"/>
  <c r="BL58" i="1"/>
  <c r="AF58" i="1"/>
  <c r="BJ58" i="1"/>
  <c r="AD58" i="1"/>
  <c r="AN58" i="1"/>
  <c r="BP58" i="1"/>
  <c r="X58" i="1"/>
  <c r="BT58" i="1"/>
  <c r="AL58" i="1"/>
  <c r="BR58" i="1"/>
  <c r="AH58" i="1"/>
  <c r="AP58" i="1"/>
  <c r="BN58" i="1"/>
  <c r="Q58" i="1"/>
  <c r="V58" i="1"/>
  <c r="BF58" i="1"/>
  <c r="BD58" i="1"/>
  <c r="AT58" i="1"/>
  <c r="AX58" i="1"/>
  <c r="AV58" i="1"/>
  <c r="AR58" i="1"/>
  <c r="BX23" i="1"/>
  <c r="BX50" i="1"/>
  <c r="BX52" i="1"/>
  <c r="AT105" i="1" l="1"/>
  <c r="BR105" i="1"/>
  <c r="BX54" i="1"/>
  <c r="BX89" i="1"/>
  <c r="BX56" i="1"/>
  <c r="BX24" i="1"/>
  <c r="BX62" i="1"/>
  <c r="BX61" i="1"/>
  <c r="BX67" i="1"/>
  <c r="AZ105" i="1"/>
  <c r="BX37" i="1"/>
  <c r="BX27" i="1"/>
  <c r="BX30" i="1"/>
  <c r="BX55" i="1"/>
  <c r="BX86" i="1"/>
  <c r="BX9" i="1"/>
  <c r="BX53" i="1"/>
  <c r="BF105" i="1"/>
  <c r="AL105" i="1"/>
  <c r="BX60" i="1"/>
  <c r="BX68" i="1"/>
  <c r="AD105" i="1"/>
  <c r="AP105" i="1"/>
  <c r="BX19" i="1"/>
  <c r="BX77" i="1"/>
  <c r="BX102" i="1"/>
  <c r="AH105" i="1"/>
  <c r="BP105" i="1"/>
  <c r="V105" i="1"/>
  <c r="BX25" i="1"/>
  <c r="BX43" i="1"/>
  <c r="Z105" i="1"/>
  <c r="AV105" i="1"/>
  <c r="AF105" i="1"/>
  <c r="BX59" i="1"/>
  <c r="BX66" i="1"/>
  <c r="BX58" i="1"/>
  <c r="BX33" i="1"/>
  <c r="BX99" i="1"/>
  <c r="BB105" i="1"/>
  <c r="AX105" i="1"/>
  <c r="BD105" i="1"/>
  <c r="BX57" i="1"/>
  <c r="BX11" i="1"/>
  <c r="BH105" i="1"/>
  <c r="BX10" i="1"/>
  <c r="BJ105" i="1"/>
  <c r="BL105" i="1"/>
  <c r="BX72" i="1"/>
  <c r="BX80" i="1"/>
  <c r="BX64" i="1"/>
  <c r="X105" i="1"/>
  <c r="Q105" i="1"/>
  <c r="BX6" i="1"/>
  <c r="BX46" i="1"/>
  <c r="BX73" i="1"/>
  <c r="AB105" i="1"/>
  <c r="BN105" i="1"/>
  <c r="BX69" i="1"/>
  <c r="BX45" i="1"/>
  <c r="BX63" i="1"/>
  <c r="BX70" i="1"/>
  <c r="BX22" i="1"/>
  <c r="BX32" i="1"/>
  <c r="BX97" i="1"/>
  <c r="BX35" i="1"/>
  <c r="BX26" i="1"/>
  <c r="BT105" i="1"/>
  <c r="AN105" i="1"/>
  <c r="BX14" i="1"/>
  <c r="BX48" i="1"/>
  <c r="AJ105" i="1"/>
  <c r="AR105" i="1"/>
  <c r="BX13" i="1"/>
  <c r="BX105" i="1" l="1"/>
  <c r="C107" i="1" s="1"/>
  <c r="E107" i="1" l="1"/>
  <c r="C109" i="1"/>
  <c r="E109" i="1" s="1"/>
  <c r="C115" i="1" l="1"/>
  <c r="E115" i="1" l="1"/>
  <c r="C118" i="1"/>
  <c r="E118" i="1" s="1"/>
  <c r="C116" i="1"/>
  <c r="E116" i="1" s="1"/>
  <c r="C117" i="1" l="1"/>
  <c r="C119" i="1" l="1"/>
  <c r="E119" i="1" s="1"/>
  <c r="E1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tc={FE283332-FCDC-4EC9-96B9-212867E6DB4C}</author>
  </authors>
  <commentList>
    <comment ref="X5" authorId="0" shapeId="0" xr:uid="{FE283332-FCDC-4EC9-96B9-212867E6DB4C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formula for computing overbreak.  Based on previous, value was based on hourly billing rate, not hourly employee rate</t>
      </text>
    </comment>
  </commentList>
</comments>
</file>

<file path=xl/sharedStrings.xml><?xml version="1.0" encoding="utf-8"?>
<sst xmlns="http://schemas.openxmlformats.org/spreadsheetml/2006/main" count="375" uniqueCount="229">
  <si>
    <t>OVERTIME</t>
  </si>
  <si>
    <t xml:space="preserve">RWD (Regular Working Day OT) 
125% - minimum of 1hr
</t>
  </si>
  <si>
    <t>RD (Rest day OT)
130 % - 1st 8 hrs
169 % - in excess of 8 hrs min of 1hr</t>
  </si>
  <si>
    <t>RHNR (Regular Hol OT) 
200 % - 1st 8 hrs
260 % - in excess of 8 hrs min of 1hr</t>
  </si>
  <si>
    <t>RHRD (Regular Hol OT-RD)
 260 % - 1st 8 hrs
338 % - in excess of 8 hrs min of 1hr</t>
  </si>
  <si>
    <t>SHNR (Special Hol OT)
130 % - 1st 8 hrs
169 % - in excess of 8 hrs min of 1hr</t>
  </si>
  <si>
    <t>SHRD (Special Hol OT-RD) 
150 % - 1st 8 hrs
195 % - in excess of 8 hrs min of 1hr</t>
  </si>
  <si>
    <t>OTHERS</t>
  </si>
  <si>
    <t>Employee No.</t>
  </si>
  <si>
    <t>Employee Name</t>
  </si>
  <si>
    <t>Position</t>
  </si>
  <si>
    <t>Department/
Branch</t>
  </si>
  <si>
    <t>Company</t>
  </si>
  <si>
    <t>Region</t>
  </si>
  <si>
    <t>Billing Rate</t>
  </si>
  <si>
    <t>Rate per hour</t>
  </si>
  <si>
    <t>Late</t>
  </si>
  <si>
    <t>Under</t>
  </si>
  <si>
    <t>Abs</t>
  </si>
  <si>
    <t>Allowance</t>
  </si>
  <si>
    <t>Seniority Allowance</t>
  </si>
  <si>
    <t>Stock Clerk Allowance</t>
  </si>
  <si>
    <t>LHrs</t>
  </si>
  <si>
    <t>WHrs</t>
  </si>
  <si>
    <t>DAILY GROSS</t>
  </si>
  <si>
    <t>Total Allowance</t>
  </si>
  <si>
    <t>Total Seniority Allowance</t>
  </si>
  <si>
    <t>Total Stock Clerk Allowance</t>
  </si>
  <si>
    <t>NP</t>
  </si>
  <si>
    <t>OVB</t>
  </si>
  <si>
    <t>Total Overbreak</t>
  </si>
  <si>
    <t>Ovt</t>
  </si>
  <si>
    <t>Ovt8</t>
  </si>
  <si>
    <t>NP8</t>
  </si>
  <si>
    <t>Training</t>
  </si>
  <si>
    <t>Adjustment</t>
  </si>
  <si>
    <t>Adjustment Allowance</t>
  </si>
  <si>
    <t>GROSS EARNINGS</t>
  </si>
  <si>
    <t>Morilla, Jennifer D.</t>
  </si>
  <si>
    <t>Customer Care Staff</t>
  </si>
  <si>
    <t>Ayala Mall Vermosa</t>
  </si>
  <si>
    <t>Caterial, Geralden T.</t>
  </si>
  <si>
    <t>Centrio Mall</t>
  </si>
  <si>
    <t>Dela Cruz, Denn Ellyzer .</t>
  </si>
  <si>
    <t>New Optician</t>
  </si>
  <si>
    <t>City Mall Boracay</t>
  </si>
  <si>
    <t>Brazal, Mark Victor .</t>
  </si>
  <si>
    <t>Encoder</t>
  </si>
  <si>
    <t>Corporate Accounts Department</t>
  </si>
  <si>
    <t xml:space="preserve"> Executive Optical, Inc.</t>
  </si>
  <si>
    <t>Causapin, Klirlyn L.</t>
  </si>
  <si>
    <t>Malco, Analiza L.</t>
  </si>
  <si>
    <t>DS Landmark Manila Bay</t>
  </si>
  <si>
    <t>Bendaña, Agatha S.</t>
  </si>
  <si>
    <t>Estancia</t>
  </si>
  <si>
    <t>Durante, Richelle B.</t>
  </si>
  <si>
    <t>Festival</t>
  </si>
  <si>
    <t>Esguerra, Jesseca R.</t>
  </si>
  <si>
    <t>Festival Mall 2</t>
  </si>
  <si>
    <t>Salazar, Edmarie Rose M.</t>
  </si>
  <si>
    <t>Cashier</t>
  </si>
  <si>
    <t>Jason, Ronavil .</t>
  </si>
  <si>
    <t>Gaisano Capital Kalibo</t>
  </si>
  <si>
    <t>Venancio, Maricel P.</t>
  </si>
  <si>
    <t>Gaisano Grand Mall Kalibo</t>
  </si>
  <si>
    <t>Antipuesto, Marjorie E.</t>
  </si>
  <si>
    <t>Gaisano Grand Mall Digos</t>
  </si>
  <si>
    <t>Bonilla, Charity  H.</t>
  </si>
  <si>
    <t>Customer Care Staff*</t>
  </si>
  <si>
    <t>Gaisano Mall Tagum</t>
  </si>
  <si>
    <t>Hempon, Danica .</t>
  </si>
  <si>
    <t>Dagatan, Marjorie .</t>
  </si>
  <si>
    <t>Island Central Mactan IT Complex</t>
  </si>
  <si>
    <t>Ballesteros, Gerome .</t>
  </si>
  <si>
    <t>Warehouse</t>
  </si>
  <si>
    <t>Leal, Kristine Joy .</t>
  </si>
  <si>
    <t>Marikina Riverbanks Center</t>
  </si>
  <si>
    <t>Nacionales, Aileen Rose S.</t>
  </si>
  <si>
    <t>Market Market</t>
  </si>
  <si>
    <t>Pastrana, Lucia G.</t>
  </si>
  <si>
    <t>Resando, Sheila May B.</t>
  </si>
  <si>
    <t>Vicente, Jo Ara B.</t>
  </si>
  <si>
    <t>Reyes, Jonathan P.</t>
  </si>
  <si>
    <t>NE Cabanatuan</t>
  </si>
  <si>
    <t>Fermin, Tristan .</t>
  </si>
  <si>
    <t>Robinsons Angeles</t>
  </si>
  <si>
    <t>Abay, Colette Patricia M.</t>
  </si>
  <si>
    <t>Robinsons Antipolo</t>
  </si>
  <si>
    <t>Ramirez, Dianne Ara B.</t>
  </si>
  <si>
    <t>Agustin, J.V Pearl .</t>
  </si>
  <si>
    <t>Robinsons Cainta</t>
  </si>
  <si>
    <t>Laperme, Marydel P.</t>
  </si>
  <si>
    <t>Stock Clerk</t>
  </si>
  <si>
    <t>Marcolino, Aaron C.</t>
  </si>
  <si>
    <t>Robinsons Galleria</t>
  </si>
  <si>
    <t>Bayaton, Emjay .</t>
  </si>
  <si>
    <t>Robinsons Galleria Cebu</t>
  </si>
  <si>
    <t>Villena, April E.</t>
  </si>
  <si>
    <t>Robinsons General Trias</t>
  </si>
  <si>
    <t>Timbang, Mia Bianca C.</t>
  </si>
  <si>
    <t>Robinsons Place Dasmarinas</t>
  </si>
  <si>
    <t>Suelto, Rica Mae .</t>
  </si>
  <si>
    <t>Robinsons Place Dumaguete</t>
  </si>
  <si>
    <t>Abubo, Jossel I.</t>
  </si>
  <si>
    <t>Manna Mall</t>
  </si>
  <si>
    <t>Villamayor, Albert .</t>
  </si>
  <si>
    <t>Robinsons Place Manila EO Kids and Up</t>
  </si>
  <si>
    <t>Dazo, Claudine O.</t>
  </si>
  <si>
    <t>Robinsons Place Sta. Rosa</t>
  </si>
  <si>
    <t>Sitao, Mariel F.</t>
  </si>
  <si>
    <t>RPI Iloilo</t>
  </si>
  <si>
    <t>De Mesa, Angeline Theresa .</t>
  </si>
  <si>
    <t>SM Bacoor</t>
  </si>
  <si>
    <t>Lacaba, Jerlyn B.</t>
  </si>
  <si>
    <t>Martin, Myca N.</t>
  </si>
  <si>
    <t>SM Baguio</t>
  </si>
  <si>
    <t>Manalo, Janice E.</t>
  </si>
  <si>
    <t>SM Batangas</t>
  </si>
  <si>
    <t>Bulawin, Ailyn Jane C.</t>
  </si>
  <si>
    <t>SM Bicutan</t>
  </si>
  <si>
    <t>Cortiguerra, Meriam T.</t>
  </si>
  <si>
    <t>Santillas, Angelica F.</t>
  </si>
  <si>
    <t>Rangcasajo, Cindy Mae A.</t>
  </si>
  <si>
    <t>SM Cagayan de Oro</t>
  </si>
  <si>
    <t>Buñao, Gerlie E.</t>
  </si>
  <si>
    <t>SM Cebu</t>
  </si>
  <si>
    <t>Llenado, Honey Jane .</t>
  </si>
  <si>
    <t>Zanoria, Mary Jean .</t>
  </si>
  <si>
    <t>Estrada, May Anne G.</t>
  </si>
  <si>
    <t>SM Center Dagupan</t>
  </si>
  <si>
    <t>Aton, Charmaine .</t>
  </si>
  <si>
    <t>SM Center Imus</t>
  </si>
  <si>
    <t>Bolaños, Jovelyn M.</t>
  </si>
  <si>
    <t>SM Center Lemery</t>
  </si>
  <si>
    <t>Catibog, Jennifer B.</t>
  </si>
  <si>
    <t>De Roxas, Jessa Mae B.</t>
  </si>
  <si>
    <t>Marcial, Kryz Ann M.</t>
  </si>
  <si>
    <t>Mendoza, Kiesha Camille D.</t>
  </si>
  <si>
    <t>De Guzman, Gabriel .</t>
  </si>
  <si>
    <t>SM Center Pulilan</t>
  </si>
  <si>
    <t>Malandog, Noemi M.</t>
  </si>
  <si>
    <t>SM Center San Pedro</t>
  </si>
  <si>
    <t>Visda, Wendie C.</t>
  </si>
  <si>
    <t>SM City Annex</t>
  </si>
  <si>
    <t>Canoy, Tracy Angel R.</t>
  </si>
  <si>
    <t>SM City BF Parañaque</t>
  </si>
  <si>
    <t>Paz, Jhelo L.</t>
  </si>
  <si>
    <t>SM City Butuan</t>
  </si>
  <si>
    <t>Almazar, Rochelle C.</t>
  </si>
  <si>
    <t>SM City Daet</t>
  </si>
  <si>
    <t>Alpido, Avie Eloisa B.</t>
  </si>
  <si>
    <t>Alviz, Reynalyn B.</t>
  </si>
  <si>
    <t>SM City Olongapo</t>
  </si>
  <si>
    <t>Brizuela, Althea Joy .</t>
  </si>
  <si>
    <t>Tolentino, Rowel King C.</t>
  </si>
  <si>
    <t>Villaron, Jonna D.</t>
  </si>
  <si>
    <t>SM City Roxas</t>
  </si>
  <si>
    <t>Catipon, Althea Marie .</t>
  </si>
  <si>
    <t>SM City San Pablo</t>
  </si>
  <si>
    <t>Lazo, Jonileah A.</t>
  </si>
  <si>
    <t>SM City Tanza</t>
  </si>
  <si>
    <t>Bengco, Princess April .</t>
  </si>
  <si>
    <t>SM City Taytay Active Eyewear</t>
  </si>
  <si>
    <t>Fermin, Tristan A.</t>
  </si>
  <si>
    <t>SM City Telabastagan</t>
  </si>
  <si>
    <t>Matawaran, Irene E.</t>
  </si>
  <si>
    <t>SM City Trece Martires</t>
  </si>
  <si>
    <t>Gutierrez, Lovely Jelyn B.</t>
  </si>
  <si>
    <t>SM Dasmarinas</t>
  </si>
  <si>
    <t>Venus, Christian Lawrence A.</t>
  </si>
  <si>
    <t>Quiray, Maria Christine O.</t>
  </si>
  <si>
    <t>SM Dasmarinas Supermarket</t>
  </si>
  <si>
    <t>Nadera, Hanna Jane A.</t>
  </si>
  <si>
    <t>SM Davao</t>
  </si>
  <si>
    <t>Duhaylungsod, Jude S.</t>
  </si>
  <si>
    <t>SM GenSan</t>
  </si>
  <si>
    <t>Labanero, Gloraine R.</t>
  </si>
  <si>
    <t>Saraum, Nelyn Grace M.</t>
  </si>
  <si>
    <t>SM City JMall</t>
  </si>
  <si>
    <t>Plandez, Shiela S.</t>
  </si>
  <si>
    <t>SM Lipa</t>
  </si>
  <si>
    <t>Cruz, Jodie O.</t>
  </si>
  <si>
    <t>SM Megamall</t>
  </si>
  <si>
    <t>Palogan, Ethel D.</t>
  </si>
  <si>
    <t>Supilanas, Jonelyn R.</t>
  </si>
  <si>
    <t>SM Megamall A Supermarket</t>
  </si>
  <si>
    <t>Tosoc, Jennifer V.</t>
  </si>
  <si>
    <t>SM Naga</t>
  </si>
  <si>
    <t>Repel, Rowena C.</t>
  </si>
  <si>
    <t>SM Seaside City Cebu</t>
  </si>
  <si>
    <t>Tejeno, Ivy .</t>
  </si>
  <si>
    <t>Sabanal, Leslie B.</t>
  </si>
  <si>
    <t>SM Seaside City Cebu Kids and Up</t>
  </si>
  <si>
    <t>Llanita, Jeric .</t>
  </si>
  <si>
    <t>Sta Rosa</t>
  </si>
  <si>
    <t>Tamidles, Judy Ann R.</t>
  </si>
  <si>
    <t>SM Supermarket Olongapo</t>
  </si>
  <si>
    <t>Pastoral, Jean Heleyn T.</t>
  </si>
  <si>
    <t>SM Taytay</t>
  </si>
  <si>
    <t>Aquino, Romela Mae .</t>
  </si>
  <si>
    <t>Treasury</t>
  </si>
  <si>
    <t>Fanoga, Jonalyn D.</t>
  </si>
  <si>
    <t>Venice Grand Canal</t>
  </si>
  <si>
    <t>Delos Santos, Mia Lalaine .</t>
  </si>
  <si>
    <t>Virra Mall</t>
  </si>
  <si>
    <t>Delgado, Merry Chris A.</t>
  </si>
  <si>
    <t>Waltermart Batangas</t>
  </si>
  <si>
    <t>Feliciano, Evony D.</t>
  </si>
  <si>
    <t>Waltermart Cabanatuan</t>
  </si>
  <si>
    <t>Bautista, Reybelyn .</t>
  </si>
  <si>
    <t>Waltermart Malolos</t>
  </si>
  <si>
    <t>Cardenas, Marica T.</t>
  </si>
  <si>
    <t>Montaniel, Ericalyn M.</t>
  </si>
  <si>
    <t>Waltermart Naic</t>
  </si>
  <si>
    <t>Ariola, Carmela Jane M.</t>
  </si>
  <si>
    <t>Vista Mall Sta. Rosa</t>
  </si>
  <si>
    <t>Sacnanas, Joel N.</t>
  </si>
  <si>
    <t>Warehouse Staff</t>
  </si>
  <si>
    <t>Payroll Cost</t>
  </si>
  <si>
    <t>10% Admin Fee</t>
  </si>
  <si>
    <t>Training Fee</t>
  </si>
  <si>
    <t>Sub-total</t>
  </si>
  <si>
    <t>VAT 12%</t>
  </si>
  <si>
    <t>Gross Amount</t>
  </si>
  <si>
    <t>Less: W/tax</t>
  </si>
  <si>
    <t>Total Amount Due</t>
  </si>
  <si>
    <t>EO</t>
  </si>
  <si>
    <t>Date From</t>
  </si>
  <si>
    <t>Date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</si>
</sst>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0.0%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8"/>
      <name val="Aptos Narrow"/>
      <family val="2"/>
      <scheme val="minor"/>
    </font>
    <font>
      <b/>
      <sz val="18"/>
      <color rgb="FFFF0000"/>
      <name val="Aptos Narrow"/>
      <family val="2"/>
      <scheme val="minor"/>
    </font>
    <font>
      <sz val="10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8"/>
      <name val="Arial"/>
      <family val="2"/>
    </font>
    <font>
      <b/>
      <sz val="8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8"/>
      <name val="Aptos Narrow"/>
      <family val="2"/>
      <scheme val="minor"/>
    </font>
    <font>
      <sz val="10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theme="1"/>
      <name val="Arial"/>
      <family val="2"/>
    </font>
    <font>
      <b/>
      <sz val="13"/>
      <color theme="1"/>
      <name val="Aptos Display"/>
      <family val="1"/>
      <scheme val="major"/>
    </font>
    <font>
      <sz val="9"/>
      <color indexed="81"/>
      <name val="Tahoma"/>
      <charset val="1"/>
    </font>
    <font>
      <sz val="12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7" fillId="0" borderId="0"/>
  </cellStyleXfs>
  <cellXfs count="119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3" fontId="1" fillId="0" borderId="0" xfId="1" applyFont="1" applyAlignment="1">
      <alignment vertical="center"/>
    </xf>
    <xf numFmtId="43" fontId="4" fillId="0" borderId="0" xfId="1" applyFont="1" applyAlignment="1">
      <alignment vertical="center"/>
    </xf>
    <xf numFmtId="0" fontId="4" fillId="0" borderId="0" xfId="0" applyFont="1" applyAlignment="1">
      <alignment vertical="center"/>
    </xf>
    <xf numFmtId="43" fontId="2" fillId="0" borderId="0" xfId="1" applyFont="1" applyAlignment="1">
      <alignment vertical="center"/>
    </xf>
    <xf numFmtId="43" fontId="1" fillId="0" borderId="0" xfId="1" applyFont="1" applyAlignment="1">
      <alignment horizontal="center" vertical="center"/>
    </xf>
    <xf numFmtId="43" fontId="4" fillId="0" borderId="0" xfId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3" fontId="2" fillId="0" borderId="0" xfId="1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0" borderId="0" xfId="2" applyFont="1" applyAlignment="1" applyProtection="1">
      <alignment horizontal="center" vertical="center" wrapText="1" readingOrder="1"/>
      <protection locked="0"/>
    </xf>
    <xf numFmtId="0" fontId="9" fillId="0" borderId="0" xfId="2" applyFont="1" applyAlignment="1" applyProtection="1">
      <alignment horizontal="left" vertical="center" readingOrder="1"/>
      <protection locked="0"/>
    </xf>
    <xf numFmtId="0" fontId="9" fillId="0" borderId="0" xfId="2" applyFont="1" applyAlignment="1" applyProtection="1">
      <alignment horizontal="center" vertical="center" wrapText="1" readingOrder="1"/>
      <protection locked="0"/>
    </xf>
    <xf numFmtId="43" fontId="9" fillId="0" borderId="0" xfId="1" applyFont="1" applyAlignment="1" applyProtection="1">
      <alignment horizontal="center" vertical="center" wrapText="1" readingOrder="1"/>
      <protection locked="0"/>
    </xf>
    <xf numFmtId="43" fontId="10" fillId="0" borderId="0" xfId="1" applyFont="1" applyAlignment="1" applyProtection="1">
      <alignment horizontal="center" vertical="center" wrapText="1" readingOrder="1"/>
      <protection locked="0"/>
    </xf>
    <xf numFmtId="0" fontId="7" fillId="0" borderId="0" xfId="2" applyAlignment="1" applyProtection="1">
      <alignment horizontal="center" vertical="center" wrapText="1"/>
      <protection locked="0"/>
    </xf>
    <xf numFmtId="43" fontId="11" fillId="0" borderId="0" xfId="1" applyFont="1" applyAlignment="1" applyProtection="1">
      <alignment horizontal="center" vertical="center" wrapText="1" readingOrder="1"/>
      <protection locked="0"/>
    </xf>
    <xf numFmtId="43" fontId="12" fillId="3" borderId="6" xfId="1" applyFont="1" applyFill="1" applyBorder="1" applyAlignment="1" applyProtection="1">
      <alignment horizontal="center" vertical="center" wrapText="1" readingOrder="1"/>
      <protection locked="0"/>
    </xf>
    <xf numFmtId="43" fontId="12" fillId="3" borderId="7" xfId="1" applyFont="1" applyFill="1" applyBorder="1" applyAlignment="1" applyProtection="1">
      <alignment horizontal="center" vertical="center" wrapText="1" readingOrder="1"/>
      <protection locked="0"/>
    </xf>
    <xf numFmtId="43" fontId="12" fillId="3" borderId="8" xfId="1" applyFont="1" applyFill="1" applyBorder="1" applyAlignment="1" applyProtection="1">
      <alignment horizontal="center" vertical="center" wrapText="1" readingOrder="1"/>
      <protection locked="0"/>
    </xf>
    <xf numFmtId="0" fontId="12" fillId="3" borderId="9" xfId="2" applyFont="1" applyFill="1" applyBorder="1" applyAlignment="1" applyProtection="1">
      <alignment horizontal="center" vertical="center" wrapText="1" readingOrder="1"/>
      <protection locked="0"/>
    </xf>
    <xf numFmtId="0" fontId="12" fillId="3" borderId="7" xfId="2" applyFont="1" applyFill="1" applyBorder="1" applyAlignment="1" applyProtection="1">
      <alignment horizontal="center" vertical="center" wrapText="1" readingOrder="1"/>
      <protection locked="0"/>
    </xf>
    <xf numFmtId="0" fontId="7" fillId="3" borderId="7" xfId="2" applyFill="1" applyBorder="1" applyAlignment="1" applyProtection="1">
      <alignment horizontal="center" vertical="center" wrapText="1"/>
      <protection locked="0"/>
    </xf>
    <xf numFmtId="0" fontId="7" fillId="3" borderId="10" xfId="2" applyFill="1" applyBorder="1" applyAlignment="1" applyProtection="1">
      <alignment horizontal="center" vertical="center" wrapText="1"/>
      <protection locked="0"/>
    </xf>
    <xf numFmtId="0" fontId="7" fillId="3" borderId="11" xfId="2" applyFill="1" applyBorder="1" applyAlignment="1" applyProtection="1">
      <alignment horizontal="center" vertical="center" wrapText="1"/>
      <protection locked="0"/>
    </xf>
    <xf numFmtId="0" fontId="7" fillId="3" borderId="12" xfId="2" applyFill="1" applyBorder="1" applyAlignment="1" applyProtection="1">
      <alignment horizontal="center" vertical="center" wrapText="1"/>
      <protection locked="0"/>
    </xf>
    <xf numFmtId="0" fontId="7" fillId="3" borderId="13" xfId="2" applyFill="1" applyBorder="1" applyAlignment="1" applyProtection="1">
      <alignment vertical="center" wrapText="1"/>
      <protection locked="0"/>
    </xf>
    <xf numFmtId="0" fontId="0" fillId="0" borderId="0" xfId="0" applyAlignment="1">
      <alignment horizontal="center" vertical="center" wrapText="1"/>
    </xf>
    <xf numFmtId="0" fontId="13" fillId="4" borderId="1" xfId="0" applyFont="1" applyFill="1" applyBorder="1" applyAlignment="1" applyProtection="1">
      <alignment horizontal="center" vertical="center" wrapText="1" readingOrder="1"/>
      <protection locked="0"/>
    </xf>
    <xf numFmtId="0" fontId="13" fillId="4" borderId="3" xfId="0" applyFont="1" applyFill="1" applyBorder="1" applyAlignment="1" applyProtection="1">
      <alignment horizontal="center" vertical="center" readingOrder="1"/>
      <protection locked="0"/>
    </xf>
    <xf numFmtId="0" fontId="13" fillId="4" borderId="5" xfId="0" applyFont="1" applyFill="1" applyBorder="1" applyAlignment="1" applyProtection="1">
      <alignment horizontal="center" vertical="center" readingOrder="1"/>
      <protection locked="0"/>
    </xf>
    <xf numFmtId="0" fontId="13" fillId="2" borderId="11" xfId="0" applyFont="1" applyFill="1" applyBorder="1" applyAlignment="1" applyProtection="1">
      <alignment horizontal="center" vertical="center" wrapText="1" readingOrder="1"/>
      <protection locked="0"/>
    </xf>
    <xf numFmtId="0" fontId="13" fillId="4" borderId="11" xfId="0" applyFont="1" applyFill="1" applyBorder="1" applyAlignment="1" applyProtection="1">
      <alignment horizontal="center" vertical="center" wrapText="1" readingOrder="1"/>
      <protection locked="0"/>
    </xf>
    <xf numFmtId="43" fontId="13" fillId="4" borderId="1" xfId="1" applyFont="1" applyFill="1" applyBorder="1" applyAlignment="1" applyProtection="1">
      <alignment horizontal="center" vertical="center" wrapText="1" readingOrder="1"/>
      <protection locked="0"/>
    </xf>
    <xf numFmtId="43" fontId="13" fillId="4" borderId="3" xfId="1" applyFont="1" applyFill="1" applyBorder="1" applyAlignment="1" applyProtection="1">
      <alignment horizontal="center" vertical="center" wrapText="1" readingOrder="1"/>
      <protection locked="0"/>
    </xf>
    <xf numFmtId="43" fontId="14" fillId="4" borderId="3" xfId="1" applyFont="1" applyFill="1" applyBorder="1" applyAlignment="1" applyProtection="1">
      <alignment horizontal="center" vertical="center" wrapText="1" readingOrder="1"/>
      <protection locked="0"/>
    </xf>
    <xf numFmtId="43" fontId="14" fillId="4" borderId="4" xfId="1" applyFont="1" applyFill="1" applyBorder="1" applyAlignment="1" applyProtection="1">
      <alignment horizontal="center" vertical="center" wrapText="1" readingOrder="1"/>
      <protection locked="0"/>
    </xf>
    <xf numFmtId="9" fontId="14" fillId="4" borderId="1" xfId="1" applyNumberFormat="1" applyFont="1" applyFill="1" applyBorder="1" applyAlignment="1" applyProtection="1">
      <alignment horizontal="center" vertical="center" wrapText="1" readingOrder="1"/>
      <protection locked="0"/>
    </xf>
    <xf numFmtId="9" fontId="14" fillId="4" borderId="12" xfId="1" applyNumberFormat="1" applyFont="1" applyFill="1" applyBorder="1" applyAlignment="1" applyProtection="1">
      <alignment horizontal="center" vertical="center" wrapText="1" readingOrder="1"/>
      <protection locked="0"/>
    </xf>
    <xf numFmtId="43" fontId="14" fillId="4" borderId="2" xfId="1" applyFont="1" applyFill="1" applyBorder="1" applyAlignment="1" applyProtection="1">
      <alignment horizontal="center" vertical="center" wrapText="1" readingOrder="1"/>
      <protection locked="0"/>
    </xf>
    <xf numFmtId="43" fontId="13" fillId="5" borderId="4" xfId="1" applyFont="1" applyFill="1" applyBorder="1" applyAlignment="1" applyProtection="1">
      <alignment horizontal="center" vertical="center" wrapText="1" readingOrder="1"/>
      <protection locked="0"/>
    </xf>
    <xf numFmtId="43" fontId="13" fillId="6" borderId="4" xfId="1" applyFont="1" applyFill="1" applyBorder="1" applyAlignment="1" applyProtection="1">
      <alignment horizontal="center" vertical="center" wrapText="1" readingOrder="1"/>
      <protection locked="0"/>
    </xf>
    <xf numFmtId="43" fontId="13" fillId="4" borderId="4" xfId="1" applyFont="1" applyFill="1" applyBorder="1" applyAlignment="1" applyProtection="1">
      <alignment horizontal="center" vertical="center" wrapText="1" readingOrder="1"/>
      <protection locked="0"/>
    </xf>
    <xf numFmtId="9" fontId="13" fillId="5" borderId="11" xfId="1" applyNumberFormat="1" applyFont="1" applyFill="1" applyBorder="1" applyAlignment="1" applyProtection="1">
      <alignment horizontal="center" vertical="center" wrapText="1" readingOrder="1"/>
      <protection locked="0"/>
    </xf>
    <xf numFmtId="43" fontId="15" fillId="4" borderId="10" xfId="1" applyFont="1" applyFill="1" applyBorder="1" applyAlignment="1" applyProtection="1">
      <alignment horizontal="center" vertical="center" wrapText="1" readingOrder="1"/>
      <protection locked="0"/>
    </xf>
    <xf numFmtId="43" fontId="15" fillId="5" borderId="14" xfId="1" applyFont="1" applyFill="1" applyBorder="1" applyAlignment="1" applyProtection="1">
      <alignment horizontal="center" vertical="center" wrapText="1" readingOrder="1"/>
      <protection locked="0"/>
    </xf>
    <xf numFmtId="43" fontId="14" fillId="4" borderId="15" xfId="1" applyFont="1" applyFill="1" applyBorder="1" applyAlignment="1" applyProtection="1">
      <alignment horizontal="center" vertical="center" wrapText="1" readingOrder="1"/>
      <protection locked="0"/>
    </xf>
    <xf numFmtId="9" fontId="13" fillId="5" borderId="15" xfId="1" applyNumberFormat="1" applyFont="1" applyFill="1" applyBorder="1" applyAlignment="1" applyProtection="1">
      <alignment horizontal="center" vertical="center" wrapText="1" readingOrder="1"/>
      <protection locked="0"/>
    </xf>
    <xf numFmtId="43" fontId="13" fillId="4" borderId="16" xfId="1" applyFont="1" applyFill="1" applyBorder="1" applyAlignment="1" applyProtection="1">
      <alignment horizontal="center" vertical="center" wrapText="1" readingOrder="1"/>
      <protection locked="0"/>
    </xf>
    <xf numFmtId="9" fontId="13" fillId="5" borderId="17" xfId="1" applyNumberFormat="1" applyFont="1" applyFill="1" applyBorder="1" applyAlignment="1" applyProtection="1">
      <alignment horizontal="center" vertical="center" wrapText="1" readingOrder="1"/>
      <protection locked="0"/>
    </xf>
    <xf numFmtId="43" fontId="14" fillId="4" borderId="18" xfId="1" applyFont="1" applyFill="1" applyBorder="1" applyAlignment="1" applyProtection="1">
      <alignment horizontal="center" vertical="center" wrapText="1" readingOrder="1"/>
      <protection locked="0"/>
    </xf>
    <xf numFmtId="43" fontId="13" fillId="4" borderId="0" xfId="1" applyFont="1" applyFill="1" applyBorder="1" applyAlignment="1" applyProtection="1">
      <alignment horizontal="center" vertical="center" wrapText="1" readingOrder="1"/>
      <protection locked="0"/>
    </xf>
    <xf numFmtId="165" fontId="13" fillId="5" borderId="11" xfId="1" applyNumberFormat="1" applyFont="1" applyFill="1" applyBorder="1" applyAlignment="1" applyProtection="1">
      <alignment horizontal="left" vertical="center" wrapText="1" indent="1" readingOrder="1"/>
      <protection locked="0"/>
    </xf>
    <xf numFmtId="43" fontId="13" fillId="4" borderId="19" xfId="1" applyFont="1" applyFill="1" applyBorder="1" applyAlignment="1" applyProtection="1">
      <alignment horizontal="center" vertical="center" wrapText="1" readingOrder="1"/>
      <protection locked="0"/>
    </xf>
    <xf numFmtId="43" fontId="13" fillId="4" borderId="18" xfId="1" applyFont="1" applyFill="1" applyBorder="1" applyAlignment="1" applyProtection="1">
      <alignment horizontal="center" vertical="center" wrapText="1" readingOrder="1"/>
      <protection locked="0"/>
    </xf>
    <xf numFmtId="165" fontId="13" fillId="5" borderId="11" xfId="1" applyNumberFormat="1" applyFont="1" applyFill="1" applyBorder="1" applyAlignment="1" applyProtection="1">
      <alignment horizontal="center" vertical="center" wrapText="1" readingOrder="1"/>
      <protection locked="0"/>
    </xf>
    <xf numFmtId="43" fontId="13" fillId="4" borderId="17" xfId="1" applyFont="1" applyFill="1" applyBorder="1" applyAlignment="1" applyProtection="1">
      <alignment horizontal="center" vertical="center" wrapText="1" readingOrder="1"/>
      <protection locked="0"/>
    </xf>
    <xf numFmtId="43" fontId="13" fillId="4" borderId="15" xfId="1" applyFont="1" applyFill="1" applyBorder="1" applyAlignment="1" applyProtection="1">
      <alignment horizontal="center" vertical="center" wrapText="1" readingOrder="1"/>
      <protection locked="0"/>
    </xf>
    <xf numFmtId="9" fontId="13" fillId="5" borderId="11" xfId="1" applyNumberFormat="1" applyFont="1" applyFill="1" applyBorder="1" applyAlignment="1" applyProtection="1">
      <alignment horizontal="left" vertical="center" wrapText="1" indent="1" readingOrder="1"/>
      <protection locked="0"/>
    </xf>
    <xf numFmtId="9" fontId="13" fillId="5" borderId="16" xfId="1" applyNumberFormat="1" applyFont="1" applyFill="1" applyBorder="1" applyAlignment="1" applyProtection="1">
      <alignment horizontal="center" vertical="center" wrapText="1" readingOrder="1"/>
      <protection locked="0"/>
    </xf>
    <xf numFmtId="0" fontId="13" fillId="4" borderId="18" xfId="0" applyFont="1" applyFill="1" applyBorder="1" applyAlignment="1" applyProtection="1">
      <alignment horizontal="center" vertical="center" wrapText="1" readingOrder="1"/>
      <protection locked="0"/>
    </xf>
    <xf numFmtId="9" fontId="13" fillId="5" borderId="14" xfId="1" applyNumberFormat="1" applyFont="1" applyFill="1" applyBorder="1" applyAlignment="1" applyProtection="1">
      <alignment horizontal="center" vertical="center" wrapText="1" readingOrder="1"/>
      <protection locked="0"/>
    </xf>
    <xf numFmtId="9" fontId="13" fillId="5" borderId="2" xfId="1" applyNumberFormat="1" applyFont="1" applyFill="1" applyBorder="1" applyAlignment="1" applyProtection="1">
      <alignment horizontal="center" vertical="center" wrapText="1" readingOrder="1"/>
      <protection locked="0"/>
    </xf>
    <xf numFmtId="9" fontId="13" fillId="5" borderId="12" xfId="1" applyNumberFormat="1" applyFont="1" applyFill="1" applyBorder="1" applyAlignment="1" applyProtection="1">
      <alignment horizontal="center" vertical="center" wrapText="1" readingOrder="1"/>
      <protection locked="0"/>
    </xf>
    <xf numFmtId="0" fontId="13" fillId="0" borderId="0" xfId="0" applyFont="1" applyAlignment="1" applyProtection="1">
      <alignment horizontal="center" vertical="center" wrapText="1" readingOrder="1"/>
      <protection locked="0"/>
    </xf>
    <xf numFmtId="0" fontId="16" fillId="0" borderId="20" xfId="0" applyFont="1" applyBorder="1" applyAlignment="1" applyProtection="1">
      <alignment horizontal="center" vertical="center" wrapText="1" readingOrder="1"/>
      <protection locked="0"/>
    </xf>
    <xf numFmtId="0" fontId="16" fillId="0" borderId="20" xfId="0" applyFont="1" applyBorder="1" applyAlignment="1" applyProtection="1">
      <alignment horizontal="left" vertical="center" readingOrder="1"/>
      <protection locked="0"/>
    </xf>
    <xf numFmtId="0" fontId="16" fillId="0" borderId="20" xfId="0" applyFont="1" applyBorder="1" applyAlignment="1" applyProtection="1">
      <alignment horizontal="center" vertical="center" readingOrder="1"/>
      <protection locked="0"/>
    </xf>
    <xf numFmtId="43" fontId="17" fillId="0" borderId="20" xfId="1" applyFont="1" applyFill="1" applyBorder="1" applyAlignment="1">
      <alignment horizontal="center" vertical="center"/>
    </xf>
    <xf numFmtId="164" fontId="16" fillId="0" borderId="20" xfId="0" applyNumberFormat="1" applyFont="1" applyBorder="1" applyAlignment="1" applyProtection="1">
      <alignment horizontal="left" vertical="center" readingOrder="1"/>
      <protection locked="0"/>
    </xf>
    <xf numFmtId="43" fontId="16" fillId="0" borderId="20" xfId="1" applyFont="1" applyFill="1" applyBorder="1" applyAlignment="1" applyProtection="1">
      <alignment horizontal="center" vertical="center" wrapText="1" readingOrder="1"/>
      <protection locked="0"/>
    </xf>
    <xf numFmtId="43" fontId="4" fillId="0" borderId="20" xfId="1" applyFont="1" applyFill="1" applyBorder="1" applyAlignment="1" applyProtection="1">
      <alignment horizontal="center" vertical="center" wrapText="1" readingOrder="1"/>
      <protection locked="0"/>
    </xf>
    <xf numFmtId="43" fontId="2" fillId="0" borderId="20" xfId="1" applyFont="1" applyFill="1" applyBorder="1" applyAlignment="1" applyProtection="1">
      <alignment horizontal="center" vertical="center" wrapText="1" readingOrder="1"/>
      <protection locked="0"/>
    </xf>
    <xf numFmtId="164" fontId="16" fillId="0" borderId="20" xfId="0" applyNumberFormat="1" applyFont="1" applyBorder="1" applyAlignment="1" applyProtection="1">
      <alignment horizontal="center" vertical="center" wrapText="1" readingOrder="1"/>
      <protection locked="0"/>
    </xf>
    <xf numFmtId="0" fontId="16" fillId="0" borderId="0" xfId="0" applyFont="1" applyAlignment="1" applyProtection="1">
      <alignment horizontal="center" vertical="center" wrapText="1" readingOrder="1"/>
      <protection locked="0"/>
    </xf>
    <xf numFmtId="0" fontId="16" fillId="7" borderId="20" xfId="0" applyFont="1" applyFill="1" applyBorder="1" applyAlignment="1" applyProtection="1">
      <alignment horizontal="left" vertical="center" readingOrder="1"/>
      <protection locked="0"/>
    </xf>
    <xf numFmtId="164" fontId="16" fillId="7" borderId="20" xfId="0" applyNumberFormat="1" applyFont="1" applyFill="1" applyBorder="1" applyAlignment="1" applyProtection="1">
      <alignment horizontal="center" vertical="center" wrapText="1" readingOrder="1"/>
      <protection locked="0"/>
    </xf>
    <xf numFmtId="0" fontId="16" fillId="8" borderId="20" xfId="0" applyFont="1" applyFill="1" applyBorder="1" applyAlignment="1" applyProtection="1">
      <alignment horizontal="left" vertical="center" readingOrder="1"/>
      <protection locked="0"/>
    </xf>
    <xf numFmtId="43" fontId="2" fillId="5" borderId="20" xfId="1" applyFont="1" applyFill="1" applyBorder="1" applyAlignment="1" applyProtection="1">
      <alignment horizontal="center" vertical="center" wrapText="1" readingOrder="1"/>
      <protection locked="0"/>
    </xf>
    <xf numFmtId="0" fontId="2" fillId="0" borderId="20" xfId="0" applyFont="1" applyBorder="1" applyAlignment="1" applyProtection="1">
      <alignment horizontal="left" vertical="center" readingOrder="1"/>
      <protection locked="0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43" fontId="1" fillId="5" borderId="0" xfId="1" applyFont="1" applyFill="1" applyAlignment="1">
      <alignment vertical="center"/>
    </xf>
    <xf numFmtId="43" fontId="4" fillId="5" borderId="0" xfId="1" applyFont="1" applyFill="1" applyAlignment="1">
      <alignment vertical="center"/>
    </xf>
    <xf numFmtId="0" fontId="18" fillId="9" borderId="10" xfId="1" applyNumberFormat="1" applyFont="1" applyFill="1" applyBorder="1" applyAlignment="1">
      <alignment vertical="center"/>
    </xf>
    <xf numFmtId="164" fontId="0" fillId="0" borderId="12" xfId="0" applyNumberFormat="1" applyBorder="1" applyAlignment="1">
      <alignment horizontal="left" vertical="center"/>
    </xf>
    <xf numFmtId="43" fontId="0" fillId="0" borderId="0" xfId="1" applyFont="1" applyAlignment="1">
      <alignment horizontal="left" vertical="center"/>
    </xf>
    <xf numFmtId="43" fontId="0" fillId="0" borderId="0" xfId="0" applyNumberFormat="1" applyAlignment="1">
      <alignment vertical="center"/>
    </xf>
    <xf numFmtId="0" fontId="18" fillId="9" borderId="13" xfId="1" applyNumberFormat="1" applyFont="1" applyFill="1" applyBorder="1" applyAlignment="1">
      <alignment horizontal="left" vertical="center"/>
    </xf>
    <xf numFmtId="164" fontId="0" fillId="0" borderId="21" xfId="0" applyNumberFormat="1" applyBorder="1" applyAlignment="1">
      <alignment horizontal="left" vertical="center"/>
    </xf>
    <xf numFmtId="43" fontId="0" fillId="0" borderId="0" xfId="0" applyNumberFormat="1" applyAlignment="1">
      <alignment horizontal="center" vertical="center"/>
    </xf>
    <xf numFmtId="0" fontId="18" fillId="9" borderId="13" xfId="1" applyNumberFormat="1" applyFont="1" applyFill="1" applyBorder="1" applyAlignment="1">
      <alignment vertical="center"/>
    </xf>
    <xf numFmtId="0" fontId="18" fillId="7" borderId="13" xfId="1" applyNumberFormat="1" applyFont="1" applyFill="1" applyBorder="1" applyAlignment="1">
      <alignment vertical="center"/>
    </xf>
    <xf numFmtId="164" fontId="0" fillId="7" borderId="21" xfId="0" applyNumberFormat="1" applyFill="1" applyBorder="1" applyAlignment="1">
      <alignment horizontal="left" vertical="center"/>
    </xf>
    <xf numFmtId="0" fontId="18" fillId="5" borderId="22" xfId="1" applyNumberFormat="1" applyFont="1" applyFill="1" applyBorder="1" applyAlignment="1">
      <alignment vertical="center"/>
    </xf>
    <xf numFmtId="164" fontId="3" fillId="5" borderId="23" xfId="0" applyNumberFormat="1" applyFont="1" applyFill="1" applyBorder="1" applyAlignment="1">
      <alignment horizontal="left" vertical="center"/>
    </xf>
    <xf numFmtId="0" fontId="18" fillId="9" borderId="0" xfId="1" applyNumberFormat="1" applyFont="1" applyFill="1" applyBorder="1" applyAlignment="1">
      <alignment vertical="center"/>
    </xf>
    <xf numFmtId="164" fontId="0" fillId="0" borderId="0" xfId="0" applyNumberFormat="1" applyAlignment="1">
      <alignment horizontal="left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14" fontId="20" fillId="0" borderId="0" xfId="0" applyNumberFormat="1" applyFont="1" applyAlignment="1">
      <alignment vertical="center"/>
    </xf>
    <xf numFmtId="0" fontId="16" fillId="2" borderId="20" xfId="0" applyFont="1" applyFill="1" applyBorder="1" applyAlignment="1" applyProtection="1">
      <alignment horizontal="center" vertical="center" wrapText="1" readingOrder="1"/>
      <protection locked="0"/>
    </xf>
    <xf numFmtId="0" fontId="16" fillId="2" borderId="20" xfId="0" applyFont="1" applyFill="1" applyBorder="1" applyAlignment="1" applyProtection="1">
      <alignment horizontal="left" vertical="center" readingOrder="1"/>
      <protection locked="0"/>
    </xf>
    <xf numFmtId="0" fontId="16" fillId="2" borderId="20" xfId="0" applyFont="1" applyFill="1" applyBorder="1" applyAlignment="1" applyProtection="1">
      <alignment horizontal="center" vertical="center" readingOrder="1"/>
      <protection locked="0"/>
    </xf>
    <xf numFmtId="43" fontId="17" fillId="2" borderId="20" xfId="1" applyFont="1" applyFill="1" applyBorder="1" applyAlignment="1">
      <alignment horizontal="center" vertical="center"/>
    </xf>
    <xf numFmtId="164" fontId="16" fillId="2" borderId="20" xfId="0" applyNumberFormat="1" applyFont="1" applyFill="1" applyBorder="1" applyAlignment="1" applyProtection="1">
      <alignment horizontal="left" vertical="center" readingOrder="1"/>
      <protection locked="0"/>
    </xf>
    <xf numFmtId="43" fontId="16" fillId="2" borderId="20" xfId="1" applyFont="1" applyFill="1" applyBorder="1" applyAlignment="1" applyProtection="1">
      <alignment horizontal="center" vertical="center" wrapText="1" readingOrder="1"/>
      <protection locked="0"/>
    </xf>
    <xf numFmtId="43" fontId="4" fillId="2" borderId="20" xfId="1" applyFont="1" applyFill="1" applyBorder="1" applyAlignment="1" applyProtection="1">
      <alignment horizontal="center" vertical="center" wrapText="1" readingOrder="1"/>
      <protection locked="0"/>
    </xf>
    <xf numFmtId="43" fontId="2" fillId="2" borderId="20" xfId="1" applyFont="1" applyFill="1" applyBorder="1" applyAlignment="1" applyProtection="1">
      <alignment horizontal="center" vertical="center" wrapText="1" readingOrder="1"/>
      <protection locked="0"/>
    </xf>
    <xf numFmtId="164" fontId="16" fillId="2" borderId="20" xfId="0" applyNumberFormat="1" applyFont="1" applyFill="1" applyBorder="1" applyAlignment="1" applyProtection="1">
      <alignment horizontal="center" vertical="center" wrapText="1" readingOrder="1"/>
      <protection locked="0"/>
    </xf>
    <xf numFmtId="0" fontId="16" fillId="2" borderId="0" xfId="0" applyFont="1" applyFill="1" applyAlignment="1" applyProtection="1">
      <alignment horizontal="center" vertical="center" wrapText="1" readingOrder="1"/>
      <protection locked="0"/>
    </xf>
  </cellXfs>
  <cellStyles count="3">
    <cellStyle name="Comma" xfId="1" builtinId="3"/>
    <cellStyle name="Normal" xfId="0" builtinId="0"/>
    <cellStyle name="Normal 2" xfId="2" xr:uid="{12103801-E78A-46B8-B864-63AABC3DE8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yvee\Downloads\EO%20MAY%2016-31%202025%20(Validated%20-%20AAR)%20-%20Copy.xlsx" TargetMode="External"/><Relationship Id="rId1" Type="http://schemas.openxmlformats.org/officeDocument/2006/relationships/externalLinkPath" Target="/Users/Jayvee/Downloads/EO%20MAY%2016-31%202025%20(Validated%20-%20AAR)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YROLL 05.31.2025"/>
      <sheetName val="VALIDATED"/>
      <sheetName val="Branch code"/>
      <sheetName val="Allowance"/>
      <sheetName val="Region rate"/>
      <sheetName val="Billing (ALL)"/>
      <sheetName val=" Basic Brands Phils., Inc."/>
      <sheetName val="eo h"/>
      <sheetName val=" Executive Optical, Inc."/>
      <sheetName val=" Fun Optics, Inc."/>
      <sheetName val=" Indigo Visions, Inc."/>
      <sheetName val=" Legato Visions, Inc."/>
      <sheetName val=" Maple Hope, Inc."/>
      <sheetName val=" Megane Specs Corp."/>
      <sheetName val="Occhialera Filipinas, Inc."/>
      <sheetName val=" Occhialli, Inc."/>
      <sheetName val=" Purple Specs, Inc."/>
      <sheetName val=" Sight Testers, Inc."/>
      <sheetName val=" Specs Plus, Inc."/>
      <sheetName val="Spectacle Trolley Corp."/>
      <sheetName val=" Vision Lane Corp."/>
      <sheetName val=" Vue Circle Corp."/>
      <sheetName val=" VueConcepts, Inc."/>
    </sheetNames>
    <sheetDataSet>
      <sheetData sheetId="0" refreshError="1"/>
      <sheetData sheetId="1" refreshError="1"/>
      <sheetData sheetId="2">
        <row r="1">
          <cell r="D1" t="str">
            <v>H</v>
          </cell>
          <cell r="F1" t="str">
            <v>COMPANY</v>
          </cell>
        </row>
        <row r="2">
          <cell r="D2" t="str">
            <v>Limketkai</v>
          </cell>
          <cell r="F2" t="str">
            <v xml:space="preserve"> Basic Brands Phils., Inc.</v>
          </cell>
        </row>
        <row r="3">
          <cell r="D3" t="str">
            <v>SM San Lazaro</v>
          </cell>
          <cell r="F3" t="str">
            <v xml:space="preserve"> Basic Brands Phils., Inc.</v>
          </cell>
        </row>
        <row r="4">
          <cell r="D4" t="str">
            <v>Waltermart Gapan</v>
          </cell>
          <cell r="F4" t="str">
            <v xml:space="preserve"> Basic Brands Phils., Inc.</v>
          </cell>
        </row>
        <row r="5">
          <cell r="D5" t="str">
            <v>SM Valenzuela</v>
          </cell>
          <cell r="F5" t="str">
            <v xml:space="preserve"> Basic Brands Phils., Inc.</v>
          </cell>
        </row>
        <row r="6">
          <cell r="D6" t="str">
            <v>SM Molino</v>
          </cell>
          <cell r="F6" t="str">
            <v xml:space="preserve"> Basic Brands Phils., Inc.</v>
          </cell>
        </row>
        <row r="7">
          <cell r="D7" t="str">
            <v>Sta Rosa</v>
          </cell>
          <cell r="F7" t="str">
            <v xml:space="preserve"> Basic Brands Phils., Inc.</v>
          </cell>
        </row>
        <row r="8">
          <cell r="D8" t="str">
            <v>Virra Mall</v>
          </cell>
          <cell r="F8" t="str">
            <v xml:space="preserve"> Basic Brands Phils., Inc.</v>
          </cell>
        </row>
        <row r="9">
          <cell r="D9" t="str">
            <v>SM Taytay</v>
          </cell>
          <cell r="F9" t="str">
            <v xml:space="preserve"> Basic Brands Phils., Inc.</v>
          </cell>
        </row>
        <row r="10">
          <cell r="D10" t="str">
            <v>SM Muntinlupa</v>
          </cell>
          <cell r="F10" t="str">
            <v xml:space="preserve"> Basic Brands Phils., Inc.</v>
          </cell>
        </row>
        <row r="11">
          <cell r="D11" t="str">
            <v>SM Marikina</v>
          </cell>
          <cell r="F11" t="str">
            <v xml:space="preserve"> Basic Brands Phils., Inc.</v>
          </cell>
        </row>
        <row r="12">
          <cell r="D12" t="str">
            <v>SM Baliwag</v>
          </cell>
          <cell r="F12" t="str">
            <v xml:space="preserve"> Basic Brands Phils., Inc.</v>
          </cell>
        </row>
        <row r="13">
          <cell r="D13" t="str">
            <v>SM Naga</v>
          </cell>
          <cell r="F13" t="str">
            <v xml:space="preserve"> Basic Brands Phils., Inc.</v>
          </cell>
        </row>
        <row r="14">
          <cell r="D14" t="str">
            <v>SM Rosales</v>
          </cell>
          <cell r="F14" t="str">
            <v xml:space="preserve"> Basic Brands Phils., Inc.</v>
          </cell>
        </row>
        <row r="15">
          <cell r="D15" t="str">
            <v>Marquee Mall</v>
          </cell>
          <cell r="F15" t="str">
            <v xml:space="preserve"> Basic Brands Phils., Inc.</v>
          </cell>
        </row>
        <row r="16">
          <cell r="D16" t="str">
            <v>SM Pamplona</v>
          </cell>
          <cell r="F16" t="str">
            <v xml:space="preserve"> Basic Brands Phils., Inc.</v>
          </cell>
        </row>
        <row r="17">
          <cell r="D17" t="str">
            <v>SM Rosario</v>
          </cell>
          <cell r="F17" t="str">
            <v xml:space="preserve"> Basic Brands Phils., Inc.</v>
          </cell>
        </row>
        <row r="18">
          <cell r="D18" t="str">
            <v>SM Tarlac</v>
          </cell>
          <cell r="F18" t="str">
            <v xml:space="preserve"> Basic Brands Phils., Inc.</v>
          </cell>
        </row>
        <row r="19">
          <cell r="D19" t="str">
            <v>Ayala Davao</v>
          </cell>
          <cell r="F19" t="str">
            <v xml:space="preserve"> Basic Brands Phils., Inc.</v>
          </cell>
        </row>
        <row r="20">
          <cell r="D20" t="str">
            <v>SM Masinag</v>
          </cell>
          <cell r="F20" t="str">
            <v xml:space="preserve"> Basic Brands Phils., Inc.</v>
          </cell>
        </row>
        <row r="21">
          <cell r="D21" t="str">
            <v>Starmall Bulacan</v>
          </cell>
          <cell r="F21" t="str">
            <v xml:space="preserve"> Basic Brands Phils., Inc.</v>
          </cell>
        </row>
        <row r="22">
          <cell r="D22" t="str">
            <v>Alabang Town Center</v>
          </cell>
          <cell r="F22" t="str">
            <v xml:space="preserve"> Basic Brands Phils., Inc.</v>
          </cell>
        </row>
        <row r="23">
          <cell r="D23" t="str">
            <v>SM Center Angono</v>
          </cell>
          <cell r="F23" t="str">
            <v xml:space="preserve"> Basic Brands Phils., Inc.</v>
          </cell>
        </row>
        <row r="24">
          <cell r="D24" t="str">
            <v>SM City San Mateo</v>
          </cell>
          <cell r="F24" t="str">
            <v xml:space="preserve"> Basic Brands Phils., Inc.</v>
          </cell>
        </row>
        <row r="25">
          <cell r="D25" t="str">
            <v>SM Center Sangandaan</v>
          </cell>
          <cell r="F25" t="str">
            <v xml:space="preserve"> Basic Brands Phils., Inc.</v>
          </cell>
        </row>
        <row r="26">
          <cell r="D26" t="str">
            <v>SM Mall of Asia 2</v>
          </cell>
          <cell r="F26" t="str">
            <v xml:space="preserve"> Basic Brands Phils., Inc.</v>
          </cell>
        </row>
        <row r="27">
          <cell r="D27" t="str">
            <v>SM San Mateo Supermarket</v>
          </cell>
          <cell r="F27" t="str">
            <v xml:space="preserve"> Basic Brands Phils., Inc.</v>
          </cell>
        </row>
        <row r="28">
          <cell r="D28" t="str">
            <v>Ayala Malls Abreeza 2</v>
          </cell>
          <cell r="F28" t="str">
            <v xml:space="preserve"> Basic Brands Phils., Inc.</v>
          </cell>
        </row>
        <row r="29">
          <cell r="D29" t="str">
            <v>SM City Rosales 2</v>
          </cell>
          <cell r="F29" t="str">
            <v xml:space="preserve"> Basic Brands Phils., Inc.</v>
          </cell>
        </row>
        <row r="30">
          <cell r="D30" t="str">
            <v>SM Supermarket San Lazaro</v>
          </cell>
          <cell r="F30" t="str">
            <v xml:space="preserve"> Basic Brands Phils., Inc.</v>
          </cell>
        </row>
        <row r="31">
          <cell r="D31" t="str">
            <v>Waltermart Gapan Kids and Up</v>
          </cell>
          <cell r="F31" t="str">
            <v xml:space="preserve"> Basic Brands Phils., Inc.</v>
          </cell>
        </row>
        <row r="32">
          <cell r="D32" t="str">
            <v>Basic Brands Phils., Inc.</v>
          </cell>
          <cell r="F32" t="str">
            <v xml:space="preserve"> Basic Brands Phils., Inc.</v>
          </cell>
        </row>
        <row r="33">
          <cell r="D33" t="str">
            <v>Cedar Commodities Inc.</v>
          </cell>
          <cell r="F33" t="str">
            <v xml:space="preserve"> Cedar Commodities Inc.</v>
          </cell>
        </row>
        <row r="34">
          <cell r="D34" t="str">
            <v>North Edsa</v>
          </cell>
          <cell r="F34" t="str">
            <v xml:space="preserve"> Executive Optical, Inc.</v>
          </cell>
        </row>
        <row r="35">
          <cell r="D35" t="str">
            <v>SM Megamall</v>
          </cell>
          <cell r="F35" t="str">
            <v xml:space="preserve"> Executive Optical, Inc.</v>
          </cell>
        </row>
        <row r="36">
          <cell r="D36" t="str">
            <v>SM Southmall</v>
          </cell>
          <cell r="F36" t="str">
            <v xml:space="preserve"> Executive Optical, Inc.</v>
          </cell>
        </row>
        <row r="37">
          <cell r="D37" t="str">
            <v>SM Cebu</v>
          </cell>
          <cell r="F37" t="str">
            <v xml:space="preserve"> Executive Optical, Inc.</v>
          </cell>
        </row>
        <row r="38">
          <cell r="D38" t="str">
            <v>NE Cabanatuan</v>
          </cell>
          <cell r="F38" t="str">
            <v xml:space="preserve"> Executive Optical, Inc.</v>
          </cell>
        </row>
        <row r="39">
          <cell r="D39" t="str">
            <v>SM Bacoor</v>
          </cell>
          <cell r="F39" t="str">
            <v xml:space="preserve"> Executive Optical, Inc.</v>
          </cell>
        </row>
        <row r="40">
          <cell r="D40" t="str">
            <v>Sta. Lucia East</v>
          </cell>
          <cell r="F40" t="str">
            <v xml:space="preserve"> Executive Optical, Inc.</v>
          </cell>
        </row>
        <row r="41">
          <cell r="D41" t="str">
            <v>Pavilion Mall</v>
          </cell>
          <cell r="F41" t="str">
            <v xml:space="preserve"> Executive Optical, Inc.</v>
          </cell>
        </row>
        <row r="42">
          <cell r="D42" t="str">
            <v>Festival</v>
          </cell>
          <cell r="F42" t="str">
            <v xml:space="preserve"> Executive Optical, Inc.</v>
          </cell>
        </row>
        <row r="43">
          <cell r="D43" t="str">
            <v>SM Iloilo</v>
          </cell>
          <cell r="F43" t="str">
            <v xml:space="preserve"> Executive Optical, Inc.</v>
          </cell>
        </row>
        <row r="44">
          <cell r="D44" t="str">
            <v>SM Manila</v>
          </cell>
          <cell r="F44" t="str">
            <v xml:space="preserve"> Executive Optical, Inc.</v>
          </cell>
        </row>
        <row r="45">
          <cell r="D45" t="str">
            <v>SM Pampanga</v>
          </cell>
          <cell r="F45" t="str">
            <v xml:space="preserve"> Executive Optical, Inc.</v>
          </cell>
        </row>
        <row r="46">
          <cell r="D46" t="str">
            <v>CSI Dagupan</v>
          </cell>
          <cell r="F46" t="str">
            <v xml:space="preserve"> Executive Optical, Inc.</v>
          </cell>
        </row>
        <row r="47">
          <cell r="D47" t="str">
            <v>SM Sucat A</v>
          </cell>
          <cell r="F47" t="str">
            <v xml:space="preserve"> Executive Optical, Inc.</v>
          </cell>
        </row>
        <row r="48">
          <cell r="D48" t="str">
            <v>RPI Iloilo</v>
          </cell>
          <cell r="F48" t="str">
            <v xml:space="preserve"> Executive Optical, Inc.</v>
          </cell>
        </row>
        <row r="49">
          <cell r="D49" t="str">
            <v>SM Davao</v>
          </cell>
          <cell r="F49" t="str">
            <v xml:space="preserve"> Executive Optical, Inc.</v>
          </cell>
        </row>
        <row r="50">
          <cell r="D50" t="str">
            <v>Metropoint</v>
          </cell>
          <cell r="F50" t="str">
            <v xml:space="preserve"> Executive Optical, Inc.</v>
          </cell>
        </row>
        <row r="51">
          <cell r="D51" t="str">
            <v>SM Cagayan de Oro</v>
          </cell>
          <cell r="F51" t="str">
            <v xml:space="preserve"> Executive Optical, Inc.</v>
          </cell>
        </row>
        <row r="52">
          <cell r="D52" t="str">
            <v>SM Bicutan</v>
          </cell>
          <cell r="F52" t="str">
            <v xml:space="preserve"> Executive Optical, Inc.</v>
          </cell>
        </row>
        <row r="53">
          <cell r="D53" t="str">
            <v>Ayala Cebu</v>
          </cell>
          <cell r="F53" t="str">
            <v xml:space="preserve"> Executive Optical, Inc.</v>
          </cell>
        </row>
        <row r="54">
          <cell r="D54" t="str">
            <v>Glorietta 3</v>
          </cell>
          <cell r="F54" t="str">
            <v xml:space="preserve"> Executive Optical, Inc.</v>
          </cell>
        </row>
        <row r="55">
          <cell r="D55" t="str">
            <v>SM Lucena</v>
          </cell>
          <cell r="F55" t="str">
            <v xml:space="preserve"> Executive Optical, Inc.</v>
          </cell>
        </row>
        <row r="56">
          <cell r="D56" t="str">
            <v>SM Baguio</v>
          </cell>
          <cell r="F56" t="str">
            <v xml:space="preserve"> Executive Optical, Inc.</v>
          </cell>
        </row>
        <row r="57">
          <cell r="D57" t="str">
            <v>SM Marilao</v>
          </cell>
          <cell r="F57" t="str">
            <v xml:space="preserve"> Executive Optical, Inc.</v>
          </cell>
        </row>
        <row r="58">
          <cell r="D58" t="str">
            <v>SM Dasmarinas</v>
          </cell>
          <cell r="F58" t="str">
            <v xml:space="preserve"> Executive Optical, Inc.</v>
          </cell>
        </row>
        <row r="59">
          <cell r="D59" t="str">
            <v>Market Market</v>
          </cell>
          <cell r="F59" t="str">
            <v xml:space="preserve"> Executive Optical, Inc.</v>
          </cell>
        </row>
        <row r="60">
          <cell r="D60" t="str">
            <v>SM Batangas</v>
          </cell>
          <cell r="F60" t="str">
            <v xml:space="preserve"> Executive Optical, Inc.</v>
          </cell>
        </row>
        <row r="61">
          <cell r="D61" t="str">
            <v>SM Clark</v>
          </cell>
          <cell r="F61" t="str">
            <v xml:space="preserve"> Executive Optical, Inc.</v>
          </cell>
        </row>
        <row r="62">
          <cell r="D62" t="str">
            <v>SM Lipa</v>
          </cell>
          <cell r="F62" t="str">
            <v xml:space="preserve"> Executive Optical, Inc.</v>
          </cell>
        </row>
        <row r="63">
          <cell r="D63" t="str">
            <v>SM Bacolod</v>
          </cell>
          <cell r="F63" t="str">
            <v xml:space="preserve"> Executive Optical, Inc.</v>
          </cell>
        </row>
        <row r="64">
          <cell r="D64" t="str">
            <v>SM Baguio Seen</v>
          </cell>
          <cell r="F64" t="str">
            <v xml:space="preserve"> Executive Optical, Inc.</v>
          </cell>
        </row>
        <row r="65">
          <cell r="D65" t="str">
            <v>SM Fairview 3</v>
          </cell>
          <cell r="F65" t="str">
            <v xml:space="preserve"> Executive Optical, Inc.</v>
          </cell>
        </row>
        <row r="66">
          <cell r="D66" t="str">
            <v>SM Fairview 5</v>
          </cell>
          <cell r="F66" t="str">
            <v xml:space="preserve"> Executive Optical, Inc.</v>
          </cell>
        </row>
        <row r="67">
          <cell r="D67" t="str">
            <v>SM City North Edsa Kids and Up</v>
          </cell>
          <cell r="F67" t="str">
            <v xml:space="preserve"> Executive Optical, Inc.</v>
          </cell>
        </row>
        <row r="68">
          <cell r="D68" t="str">
            <v>SM City Manila Kids and Up</v>
          </cell>
          <cell r="F68" t="str">
            <v xml:space="preserve"> Executive Optical, Inc.</v>
          </cell>
        </row>
        <row r="69">
          <cell r="D69" t="str">
            <v>Festival Mall 2</v>
          </cell>
          <cell r="F69" t="str">
            <v xml:space="preserve"> Executive Optical, Inc.</v>
          </cell>
        </row>
        <row r="70">
          <cell r="D70" t="str">
            <v>Robinsons Iloilo Kids and Up</v>
          </cell>
          <cell r="F70" t="str">
            <v xml:space="preserve"> Executive Optical, Inc.</v>
          </cell>
        </row>
        <row r="71">
          <cell r="D71" t="str">
            <v>SM Supermarket Lucena</v>
          </cell>
          <cell r="F71" t="str">
            <v xml:space="preserve"> Executive Optical, Inc.</v>
          </cell>
        </row>
        <row r="72">
          <cell r="D72" t="str">
            <v>SM Bacolod Kids &amp; Up</v>
          </cell>
          <cell r="F72" t="str">
            <v xml:space="preserve"> Executive Optical, Inc.</v>
          </cell>
        </row>
        <row r="73">
          <cell r="D73" t="str">
            <v>SM Supermarket Fairview</v>
          </cell>
          <cell r="F73" t="str">
            <v xml:space="preserve"> Executive Optical, Inc.</v>
          </cell>
        </row>
        <row r="74">
          <cell r="D74" t="str">
            <v>SM Supermarket Batangas</v>
          </cell>
          <cell r="F74" t="str">
            <v xml:space="preserve"> Executive Optical, Inc.</v>
          </cell>
        </row>
        <row r="75">
          <cell r="D75" t="str">
            <v>Executive Optical, Inc.</v>
          </cell>
          <cell r="F75" t="str">
            <v xml:space="preserve"> Executive Optical, Inc.</v>
          </cell>
        </row>
        <row r="76">
          <cell r="D76" t="str">
            <v>Audit</v>
          </cell>
          <cell r="F76" t="str">
            <v xml:space="preserve"> Executive Optical, Inc.</v>
          </cell>
        </row>
        <row r="77">
          <cell r="D77" t="str">
            <v>Accounting</v>
          </cell>
          <cell r="F77" t="str">
            <v xml:space="preserve"> Executive Optical, Inc.</v>
          </cell>
        </row>
        <row r="78">
          <cell r="D78" t="str">
            <v>HR</v>
          </cell>
          <cell r="F78" t="str">
            <v xml:space="preserve"> Executive Optical, Inc.</v>
          </cell>
        </row>
        <row r="79">
          <cell r="D79" t="str">
            <v>Marketing</v>
          </cell>
          <cell r="F79" t="str">
            <v xml:space="preserve"> Executive Optical, Inc.</v>
          </cell>
        </row>
        <row r="80">
          <cell r="D80" t="str">
            <v>MIS</v>
          </cell>
          <cell r="F80" t="str">
            <v xml:space="preserve"> Executive Optical, Inc.</v>
          </cell>
        </row>
        <row r="81">
          <cell r="D81" t="str">
            <v>Warehouse</v>
          </cell>
          <cell r="F81" t="str">
            <v xml:space="preserve"> Executive Optical, Inc.</v>
          </cell>
        </row>
        <row r="82">
          <cell r="D82" t="str">
            <v>Purchasing</v>
          </cell>
          <cell r="F82" t="str">
            <v xml:space="preserve"> Executive Optical, Inc.</v>
          </cell>
        </row>
        <row r="83">
          <cell r="D83" t="str">
            <v>Treasury</v>
          </cell>
          <cell r="F83" t="str">
            <v xml:space="preserve"> Executive Optical, Inc.</v>
          </cell>
        </row>
        <row r="84">
          <cell r="D84" t="str">
            <v>OP</v>
          </cell>
          <cell r="F84" t="str">
            <v xml:space="preserve"> Executive Optical, Inc.</v>
          </cell>
        </row>
        <row r="85">
          <cell r="D85" t="str">
            <v>OPERATION</v>
          </cell>
          <cell r="F85" t="str">
            <v xml:space="preserve"> Executive Optical, Inc.</v>
          </cell>
        </row>
        <row r="86">
          <cell r="D86" t="str">
            <v>Engineering</v>
          </cell>
          <cell r="F86" t="str">
            <v xml:space="preserve"> Executive Optical, Inc.</v>
          </cell>
        </row>
        <row r="87">
          <cell r="D87" t="str">
            <v>Administration</v>
          </cell>
          <cell r="F87" t="str">
            <v xml:space="preserve"> Executive Optical, Inc.</v>
          </cell>
        </row>
        <row r="88">
          <cell r="D88" t="str">
            <v>Online Sales</v>
          </cell>
          <cell r="F88" t="str">
            <v xml:space="preserve"> Executive Optical, Inc.</v>
          </cell>
        </row>
        <row r="89">
          <cell r="D89" t="str">
            <v>Store Planning and Design</v>
          </cell>
          <cell r="F89" t="str">
            <v xml:space="preserve"> Executive Optical, Inc.</v>
          </cell>
        </row>
        <row r="90">
          <cell r="D90" t="str">
            <v>Legal and Compliance</v>
          </cell>
          <cell r="F90" t="str">
            <v xml:space="preserve"> Executive Optical, Inc.</v>
          </cell>
        </row>
        <row r="91">
          <cell r="D91" t="str">
            <v>Business Development</v>
          </cell>
          <cell r="F91" t="str">
            <v xml:space="preserve"> Executive Optical, Inc.</v>
          </cell>
        </row>
        <row r="92">
          <cell r="D92" t="str">
            <v>Corporate Account</v>
          </cell>
          <cell r="F92" t="str">
            <v xml:space="preserve"> Executive Optical, Inc.</v>
          </cell>
        </row>
        <row r="93">
          <cell r="D93" t="str">
            <v>IMall Antipolo</v>
          </cell>
          <cell r="F93" t="str">
            <v xml:space="preserve"> Fun Optics, Inc.</v>
          </cell>
        </row>
        <row r="94">
          <cell r="D94" t="str">
            <v>Lucky Chinatown Mall</v>
          </cell>
          <cell r="F94" t="str">
            <v xml:space="preserve"> Fun Optics, Inc.</v>
          </cell>
        </row>
        <row r="95">
          <cell r="D95" t="str">
            <v>Gaisano Capital Kalibo</v>
          </cell>
          <cell r="F95" t="str">
            <v xml:space="preserve"> Fun Optics, Inc.</v>
          </cell>
        </row>
        <row r="96">
          <cell r="D96" t="str">
            <v>Fisher Mall Malabon</v>
          </cell>
          <cell r="F96" t="str">
            <v xml:space="preserve"> Fun Optics, Inc.</v>
          </cell>
        </row>
        <row r="97">
          <cell r="D97" t="str">
            <v>Puregold Laoag</v>
          </cell>
          <cell r="F97" t="str">
            <v xml:space="preserve"> Fun Optics, Inc.</v>
          </cell>
        </row>
        <row r="98">
          <cell r="D98" t="str">
            <v>Century City Mall</v>
          </cell>
          <cell r="F98" t="str">
            <v xml:space="preserve"> Fun Optics, Inc.</v>
          </cell>
        </row>
        <row r="99">
          <cell r="D99" t="str">
            <v>Starmall Edsa Shaw</v>
          </cell>
          <cell r="F99" t="str">
            <v xml:space="preserve"> Fun Optics, Inc.</v>
          </cell>
        </row>
        <row r="100">
          <cell r="D100" t="str">
            <v>Ayala Malls Capitol Central Mall Bacolod Visualities</v>
          </cell>
          <cell r="F100" t="str">
            <v xml:space="preserve"> Fun Optics, Inc.</v>
          </cell>
        </row>
        <row r="101">
          <cell r="D101" t="str">
            <v>Ayala Capitol Central Bacolod Kids and Up</v>
          </cell>
          <cell r="F101" t="str">
            <v xml:space="preserve"> Fun Optics, Inc.</v>
          </cell>
        </row>
        <row r="102">
          <cell r="D102" t="str">
            <v>Vista Mall Las Pinas</v>
          </cell>
          <cell r="F102" t="str">
            <v xml:space="preserve"> Fun Optics, Inc.</v>
          </cell>
        </row>
        <row r="103">
          <cell r="D103" t="str">
            <v>Puregold Bayawan</v>
          </cell>
          <cell r="F103" t="str">
            <v xml:space="preserve"> Fun Optics, Inc.</v>
          </cell>
        </row>
        <row r="104">
          <cell r="D104" t="str">
            <v>Vista Mall Malolos</v>
          </cell>
          <cell r="F104" t="str">
            <v xml:space="preserve"> Fun Optics, Inc.</v>
          </cell>
        </row>
        <row r="105">
          <cell r="D105" t="str">
            <v>Happy Go Shop</v>
          </cell>
          <cell r="F105" t="str">
            <v xml:space="preserve"> Fun Optics, Inc.</v>
          </cell>
        </row>
        <row r="106">
          <cell r="D106" t="str">
            <v>Imall Canlubang</v>
          </cell>
          <cell r="F106" t="str">
            <v xml:space="preserve"> Fun Optics, Inc.</v>
          </cell>
        </row>
        <row r="107">
          <cell r="D107" t="str">
            <v>Wmall Macapagal</v>
          </cell>
          <cell r="F107" t="str">
            <v xml:space="preserve"> Fun Optics, Inc.</v>
          </cell>
        </row>
        <row r="108">
          <cell r="D108" t="str">
            <v>Greenhills Mall</v>
          </cell>
          <cell r="F108" t="str">
            <v xml:space="preserve"> Fun Optics, Inc.</v>
          </cell>
        </row>
        <row r="109">
          <cell r="D109" t="str">
            <v>One Novamall Plaza</v>
          </cell>
          <cell r="F109" t="str">
            <v xml:space="preserve"> Fun Optics, Inc.</v>
          </cell>
        </row>
        <row r="110">
          <cell r="D110" t="str">
            <v>Fun Optics, Inc.</v>
          </cell>
          <cell r="F110" t="str">
            <v xml:space="preserve"> Fun Optics, Inc.</v>
          </cell>
        </row>
        <row r="111">
          <cell r="D111" t="str">
            <v>Ever Gotesco Commonwealth</v>
          </cell>
          <cell r="F111" t="str">
            <v xml:space="preserve"> Indigo Visions, Inc.</v>
          </cell>
        </row>
        <row r="112">
          <cell r="D112" t="str">
            <v>Puregold and Ayala Malls Marikina</v>
          </cell>
          <cell r="F112" t="str">
            <v xml:space="preserve"> Indigo Visions, Inc.</v>
          </cell>
        </row>
        <row r="113">
          <cell r="D113" t="str">
            <v>Xentro Mall Vigan</v>
          </cell>
          <cell r="F113" t="str">
            <v xml:space="preserve"> Indigo Visions, Inc.</v>
          </cell>
        </row>
        <row r="114">
          <cell r="D114" t="str">
            <v>Estancia</v>
          </cell>
          <cell r="F114" t="str">
            <v xml:space="preserve"> Indigo Visions, Inc.</v>
          </cell>
        </row>
        <row r="115">
          <cell r="D115" t="str">
            <v>SM Center Imus</v>
          </cell>
          <cell r="F115" t="str">
            <v xml:space="preserve"> Indigo Visions, Inc.</v>
          </cell>
        </row>
        <row r="116">
          <cell r="D116" t="str">
            <v>Pacific Mall Legazpi</v>
          </cell>
          <cell r="F116" t="str">
            <v xml:space="preserve"> Indigo Visions, Inc.</v>
          </cell>
        </row>
        <row r="117">
          <cell r="D117" t="str">
            <v>SM Center Pulilan</v>
          </cell>
          <cell r="F117" t="str">
            <v xml:space="preserve"> Indigo Visions, Inc.</v>
          </cell>
        </row>
        <row r="118">
          <cell r="D118" t="str">
            <v>SM City Telabastagan</v>
          </cell>
          <cell r="F118" t="str">
            <v xml:space="preserve"> Indigo Visions, Inc.</v>
          </cell>
        </row>
        <row r="119">
          <cell r="D119" t="str">
            <v>Metro Marikina Feliz</v>
          </cell>
          <cell r="F119" t="str">
            <v xml:space="preserve"> Indigo Visions, Inc.</v>
          </cell>
        </row>
        <row r="120">
          <cell r="D120" t="str">
            <v>Northstar Mall</v>
          </cell>
          <cell r="F120" t="str">
            <v xml:space="preserve"> Indigo Visions, Inc.</v>
          </cell>
        </row>
        <row r="121">
          <cell r="D121" t="str">
            <v>SM City Roxas</v>
          </cell>
          <cell r="F121" t="str">
            <v xml:space="preserve"> Indigo Visions, Inc.</v>
          </cell>
        </row>
        <row r="122">
          <cell r="D122" t="str">
            <v>Ever Gotesco Commonwealth 2</v>
          </cell>
          <cell r="F122" t="str">
            <v xml:space="preserve"> Indigo Visions, Inc.</v>
          </cell>
        </row>
        <row r="123">
          <cell r="D123" t="str">
            <v>SM City Tanza</v>
          </cell>
          <cell r="F123" t="str">
            <v xml:space="preserve"> Indigo Visions, Inc.</v>
          </cell>
        </row>
        <row r="124">
          <cell r="D124" t="str">
            <v>Xentro Mall Vigan Kiosk</v>
          </cell>
          <cell r="F124" t="str">
            <v xml:space="preserve"> Indigo Visions, Inc.</v>
          </cell>
        </row>
        <row r="125">
          <cell r="D125" t="str">
            <v>Puregold 999 Caloocan</v>
          </cell>
          <cell r="F125" t="str">
            <v xml:space="preserve"> Indigo Visions, Inc.</v>
          </cell>
        </row>
        <row r="126">
          <cell r="D126" t="str">
            <v>SM Sorsogon</v>
          </cell>
          <cell r="F126" t="str">
            <v xml:space="preserve"> Indigo Visions, Inc.</v>
          </cell>
        </row>
        <row r="127">
          <cell r="D127" t="str">
            <v>Gaisano Gingoog</v>
          </cell>
          <cell r="F127" t="str">
            <v xml:space="preserve"> Indigo Visions, Inc.</v>
          </cell>
        </row>
        <row r="128">
          <cell r="D128" t="str">
            <v>Gaisano Calbayog</v>
          </cell>
          <cell r="F128" t="str">
            <v xml:space="preserve"> Indigo Visions, Inc.</v>
          </cell>
        </row>
        <row r="129">
          <cell r="D129" t="str">
            <v>Gaisano Catarman</v>
          </cell>
          <cell r="F129" t="str">
            <v xml:space="preserve"> Indigo Visions, Inc.</v>
          </cell>
        </row>
        <row r="130">
          <cell r="D130" t="str">
            <v>Indigo Visions, Inc.</v>
          </cell>
          <cell r="F130" t="str">
            <v xml:space="preserve"> Indigo Visions, Inc.</v>
          </cell>
        </row>
        <row r="131">
          <cell r="D131" t="str">
            <v>SM Mindpro Citimall</v>
          </cell>
          <cell r="F131" t="str">
            <v xml:space="preserve"> Legato Visions, Inc.</v>
          </cell>
        </row>
        <row r="132">
          <cell r="D132" t="str">
            <v>Malabon Citisquare</v>
          </cell>
          <cell r="F132" t="str">
            <v xml:space="preserve"> Legato Visions, Inc.</v>
          </cell>
        </row>
        <row r="133">
          <cell r="D133" t="str">
            <v>Alta Citta</v>
          </cell>
          <cell r="F133" t="str">
            <v xml:space="preserve"> Legato Visions, Inc.</v>
          </cell>
        </row>
        <row r="134">
          <cell r="D134" t="str">
            <v>Waltermart Paniqui</v>
          </cell>
          <cell r="F134" t="str">
            <v xml:space="preserve"> Legato Visions, Inc.</v>
          </cell>
        </row>
        <row r="135">
          <cell r="D135" t="str">
            <v>SM Valenzuela Visualities</v>
          </cell>
          <cell r="F135" t="str">
            <v xml:space="preserve"> Legato Visions, Inc.</v>
          </cell>
        </row>
        <row r="136">
          <cell r="D136" t="str">
            <v>Waltermart Subic</v>
          </cell>
          <cell r="F136" t="str">
            <v xml:space="preserve"> Legato Visions, Inc.</v>
          </cell>
        </row>
        <row r="137">
          <cell r="D137" t="str">
            <v>SM City Olongapo</v>
          </cell>
          <cell r="F137" t="str">
            <v xml:space="preserve"> Legato Visions, Inc.</v>
          </cell>
        </row>
        <row r="138">
          <cell r="D138" t="str">
            <v>Victory Mall Sta. Rosa</v>
          </cell>
          <cell r="F138" t="str">
            <v xml:space="preserve"> Legato Visions, Inc.</v>
          </cell>
        </row>
        <row r="139">
          <cell r="D139" t="str">
            <v>SM City Butuan</v>
          </cell>
          <cell r="F139" t="str">
            <v xml:space="preserve"> Legato Visions, Inc.</v>
          </cell>
        </row>
        <row r="140">
          <cell r="D140" t="str">
            <v>Balagtas Town Center</v>
          </cell>
          <cell r="F140" t="str">
            <v xml:space="preserve"> Legato Visions, Inc.</v>
          </cell>
        </row>
        <row r="141">
          <cell r="D141" t="str">
            <v>Waltermart Malolos</v>
          </cell>
          <cell r="F141" t="str">
            <v xml:space="preserve"> Legato Visions, Inc.</v>
          </cell>
        </row>
        <row r="142">
          <cell r="D142" t="str">
            <v>Waltermart Antipolo</v>
          </cell>
          <cell r="F142" t="str">
            <v xml:space="preserve"> Legato Visions, Inc.</v>
          </cell>
        </row>
        <row r="143">
          <cell r="D143" t="str">
            <v>Waltermart Dasmarinas</v>
          </cell>
          <cell r="F143" t="str">
            <v xml:space="preserve"> Legato Visions, Inc.</v>
          </cell>
        </row>
        <row r="144">
          <cell r="D144" t="str">
            <v>Stern Mall Candon</v>
          </cell>
          <cell r="F144" t="str">
            <v xml:space="preserve"> Legato Visions, Inc.</v>
          </cell>
        </row>
        <row r="145">
          <cell r="D145" t="str">
            <v>SM Supermarket Olongapo</v>
          </cell>
          <cell r="F145" t="str">
            <v xml:space="preserve"> Legato Visions, Inc.</v>
          </cell>
        </row>
        <row r="146">
          <cell r="D146" t="str">
            <v>Ventura Mall</v>
          </cell>
          <cell r="F146" t="str">
            <v xml:space="preserve"> Legato Visions, Inc.</v>
          </cell>
        </row>
        <row r="147">
          <cell r="D147" t="str">
            <v>Legato Visions, Inc.</v>
          </cell>
          <cell r="F147" t="str">
            <v xml:space="preserve"> Legato Visions, Inc.</v>
          </cell>
        </row>
        <row r="148">
          <cell r="D148" t="str">
            <v>Ali Mall</v>
          </cell>
          <cell r="F148" t="str">
            <v xml:space="preserve"> Maple Hope, Inc.</v>
          </cell>
        </row>
        <row r="149">
          <cell r="D149" t="str">
            <v>SM East Ortigas</v>
          </cell>
          <cell r="F149" t="str">
            <v xml:space="preserve"> Maple Hope, Inc.</v>
          </cell>
        </row>
        <row r="150">
          <cell r="D150" t="str">
            <v>Vista Mall Bataan</v>
          </cell>
          <cell r="F150" t="str">
            <v xml:space="preserve"> Maple Hope, Inc.</v>
          </cell>
        </row>
        <row r="151">
          <cell r="D151" t="str">
            <v>SM CDO Downtown Premier</v>
          </cell>
          <cell r="F151" t="str">
            <v xml:space="preserve"> Maple Hope, Inc.</v>
          </cell>
        </row>
        <row r="152">
          <cell r="D152" t="str">
            <v>Tutuban Center</v>
          </cell>
          <cell r="F152" t="str">
            <v xml:space="preserve"> Maple Hope, Inc.</v>
          </cell>
        </row>
        <row r="153">
          <cell r="D153" t="str">
            <v>SM Center Tuguegarao Downtown</v>
          </cell>
          <cell r="F153" t="str">
            <v xml:space="preserve"> Maple Hope, Inc.</v>
          </cell>
        </row>
        <row r="154">
          <cell r="D154" t="str">
            <v>SM Puerto Princesa</v>
          </cell>
          <cell r="F154" t="str">
            <v xml:space="preserve"> Maple Hope, Inc.</v>
          </cell>
        </row>
        <row r="155">
          <cell r="D155" t="str">
            <v>SM Center Lemery</v>
          </cell>
          <cell r="F155" t="str">
            <v xml:space="preserve"> Maple Hope, Inc.</v>
          </cell>
        </row>
        <row r="156">
          <cell r="D156" t="str">
            <v>SM City Urdaneta</v>
          </cell>
          <cell r="F156" t="str">
            <v xml:space="preserve"> Maple Hope, Inc.</v>
          </cell>
        </row>
        <row r="157">
          <cell r="D157" t="str">
            <v>SM Megamall A Supermarket</v>
          </cell>
          <cell r="F157" t="str">
            <v xml:space="preserve"> Maple Hope, Inc.</v>
          </cell>
        </row>
        <row r="158">
          <cell r="D158" t="str">
            <v>SM East Ortigas EO Kids</v>
          </cell>
          <cell r="F158" t="str">
            <v xml:space="preserve"> Maple Hope, Inc.</v>
          </cell>
        </row>
        <row r="159">
          <cell r="D159" t="str">
            <v>Island Central Mactan IT Complex</v>
          </cell>
          <cell r="F159" t="str">
            <v xml:space="preserve"> Maple Hope, Inc.</v>
          </cell>
        </row>
        <row r="160">
          <cell r="D160" t="str">
            <v>SM Lemery Kids &amp; Up</v>
          </cell>
          <cell r="F160" t="str">
            <v xml:space="preserve"> Maple Hope, Inc.</v>
          </cell>
        </row>
        <row r="161">
          <cell r="D161" t="str">
            <v>SM Naga Supermarket</v>
          </cell>
          <cell r="F161" t="str">
            <v xml:space="preserve"> Maple Hope, Inc.</v>
          </cell>
        </row>
        <row r="162">
          <cell r="D162" t="str">
            <v>Ayala Malls Marikina</v>
          </cell>
          <cell r="F162" t="str">
            <v xml:space="preserve"> Maple Hope, Inc.</v>
          </cell>
        </row>
        <row r="163">
          <cell r="D163" t="str">
            <v>Fora Mall Tagaytay</v>
          </cell>
          <cell r="F163" t="str">
            <v xml:space="preserve"> Maple Hope, Inc.</v>
          </cell>
        </row>
        <row r="164">
          <cell r="D164" t="str">
            <v>Parqal</v>
          </cell>
          <cell r="F164" t="str">
            <v xml:space="preserve"> Maple Hope, Inc.</v>
          </cell>
        </row>
        <row r="165">
          <cell r="D165" t="str">
            <v>Maple Hope, Inc.</v>
          </cell>
          <cell r="F165" t="str">
            <v xml:space="preserve"> Maple Hope, Inc.</v>
          </cell>
        </row>
        <row r="166">
          <cell r="D166" t="str">
            <v>Robinsons Place Pavia</v>
          </cell>
          <cell r="F166" t="str">
            <v xml:space="preserve"> Megane Specs Corp.</v>
          </cell>
        </row>
        <row r="167">
          <cell r="D167" t="str">
            <v>Robinsons Star Mills</v>
          </cell>
          <cell r="F167" t="str">
            <v xml:space="preserve"> Megane Specs Corp.</v>
          </cell>
        </row>
        <row r="168">
          <cell r="D168" t="str">
            <v>Ayala Mall Feliz</v>
          </cell>
          <cell r="F168" t="str">
            <v xml:space="preserve"> Megane Specs Corp.</v>
          </cell>
        </row>
        <row r="169">
          <cell r="D169" t="str">
            <v>Robinsons Place Manila EO Kids and Up</v>
          </cell>
          <cell r="F169" t="str">
            <v xml:space="preserve"> Megane Specs Corp.</v>
          </cell>
        </row>
        <row r="170">
          <cell r="D170" t="str">
            <v>Robinsons Place Valencia</v>
          </cell>
          <cell r="F170" t="str">
            <v xml:space="preserve"> Megane Specs Corp.</v>
          </cell>
        </row>
        <row r="171">
          <cell r="D171" t="str">
            <v>Ayala Cebu Visualities</v>
          </cell>
          <cell r="F171" t="str">
            <v xml:space="preserve"> Megane Specs Corp.</v>
          </cell>
        </row>
        <row r="172">
          <cell r="D172" t="str">
            <v>Market 2 Kids and Up</v>
          </cell>
          <cell r="F172" t="str">
            <v xml:space="preserve"> Megane Specs Corp.</v>
          </cell>
        </row>
        <row r="173">
          <cell r="D173" t="str">
            <v>Robinsons Place Magnolia Visualities</v>
          </cell>
          <cell r="F173" t="str">
            <v xml:space="preserve"> Megane Specs Corp.</v>
          </cell>
        </row>
        <row r="174">
          <cell r="D174" t="str">
            <v>RP South Galleria</v>
          </cell>
          <cell r="F174" t="str">
            <v xml:space="preserve"> Megane Specs Corp.</v>
          </cell>
        </row>
        <row r="175">
          <cell r="D175" t="str">
            <v>Ayala Central Bloc Visualities</v>
          </cell>
          <cell r="F175" t="str">
            <v xml:space="preserve"> Megane Specs Corp.</v>
          </cell>
        </row>
        <row r="176">
          <cell r="D176" t="str">
            <v>RP Manila Tempo</v>
          </cell>
          <cell r="F176" t="str">
            <v xml:space="preserve"> Megane Specs Corp.</v>
          </cell>
        </row>
        <row r="177">
          <cell r="D177" t="str">
            <v>Ayala Malls Manila Bay</v>
          </cell>
          <cell r="F177" t="str">
            <v xml:space="preserve"> Megane Specs Corp.</v>
          </cell>
        </row>
        <row r="178">
          <cell r="D178" t="str">
            <v>Robinsons Place Tagum</v>
          </cell>
          <cell r="F178" t="str">
            <v xml:space="preserve"> Megane Specs Corp.</v>
          </cell>
        </row>
        <row r="179">
          <cell r="D179" t="str">
            <v>UP Town Center Katipunan</v>
          </cell>
          <cell r="F179" t="str">
            <v xml:space="preserve"> Megane Specs Corp.</v>
          </cell>
        </row>
        <row r="180">
          <cell r="D180" t="str">
            <v>Robinsons Place Gapan</v>
          </cell>
          <cell r="F180" t="str">
            <v xml:space="preserve"> Megane Specs Corp.</v>
          </cell>
        </row>
        <row r="181">
          <cell r="D181" t="str">
            <v>Robinsons Galleria Cebu</v>
          </cell>
          <cell r="F181" t="str">
            <v xml:space="preserve"> Megane Specs Corp.</v>
          </cell>
        </row>
        <row r="182">
          <cell r="D182" t="str">
            <v>Robinsons Angeles</v>
          </cell>
          <cell r="F182" t="str">
            <v xml:space="preserve"> Megane Specs Corp.</v>
          </cell>
        </row>
        <row r="183">
          <cell r="D183" t="str">
            <v>Robinsons Place Novaliches</v>
          </cell>
          <cell r="F183" t="str">
            <v xml:space="preserve"> Megane Specs Corp.</v>
          </cell>
        </row>
        <row r="184">
          <cell r="D184" t="str">
            <v>Robinsons PLace Dasmarinas</v>
          </cell>
          <cell r="F184" t="str">
            <v xml:space="preserve"> Megane Specs Corp.</v>
          </cell>
        </row>
        <row r="185">
          <cell r="D185" t="str">
            <v>Megane Specs Corp.</v>
          </cell>
          <cell r="F185" t="str">
            <v xml:space="preserve"> Megane Specs Corp.</v>
          </cell>
        </row>
        <row r="186">
          <cell r="D186" t="str">
            <v>Centrio Mall</v>
          </cell>
          <cell r="F186" t="str">
            <v>Occhialera Filipinas, Inc.</v>
          </cell>
        </row>
        <row r="187">
          <cell r="D187" t="str">
            <v>Robinsons Place Malolos</v>
          </cell>
          <cell r="F187" t="str">
            <v>Occhialera Filipinas, Inc.</v>
          </cell>
        </row>
        <row r="188">
          <cell r="D188" t="str">
            <v>Robinsons Place Butuan</v>
          </cell>
          <cell r="F188" t="str">
            <v>Occhialera Filipinas, Inc.</v>
          </cell>
        </row>
        <row r="189">
          <cell r="D189" t="str">
            <v>Robinsons Antipolo</v>
          </cell>
          <cell r="F189" t="str">
            <v>Occhialera Filipinas, Inc.</v>
          </cell>
        </row>
        <row r="190">
          <cell r="D190" t="str">
            <v>Ayala Malls Serin</v>
          </cell>
          <cell r="F190" t="str">
            <v>Occhialera Filipinas, Inc.</v>
          </cell>
        </row>
        <row r="191">
          <cell r="D191" t="str">
            <v>Robinsons Place Antique</v>
          </cell>
          <cell r="F191" t="str">
            <v>Occhialera Filipinas, Inc.</v>
          </cell>
        </row>
        <row r="192">
          <cell r="D192" t="str">
            <v>Solenad 3, Nuvali</v>
          </cell>
          <cell r="F192" t="str">
            <v>Occhialera Filipinas, Inc.</v>
          </cell>
        </row>
        <row r="193">
          <cell r="D193" t="str">
            <v>Robinsons Place San Nicolas</v>
          </cell>
          <cell r="F193" t="str">
            <v>Occhialera Filipinas, Inc.</v>
          </cell>
        </row>
        <row r="194">
          <cell r="D194" t="str">
            <v>Robinsons General Trias</v>
          </cell>
          <cell r="F194" t="str">
            <v>Occhialera Filipinas, Inc.</v>
          </cell>
        </row>
        <row r="195">
          <cell r="D195" t="str">
            <v>Robinsons Galleria</v>
          </cell>
          <cell r="F195" t="str">
            <v>Occhialera Filipinas, Inc.</v>
          </cell>
        </row>
        <row r="196">
          <cell r="D196" t="str">
            <v>Southpark</v>
          </cell>
          <cell r="F196" t="str">
            <v>Occhialera Filipinas, Inc.</v>
          </cell>
        </row>
        <row r="197">
          <cell r="D197" t="str">
            <v>Ayala Malls Serin 2</v>
          </cell>
          <cell r="F197" t="str">
            <v>Occhialera Filipinas, Inc.</v>
          </cell>
        </row>
        <row r="198">
          <cell r="D198" t="str">
            <v>Robinsons Place Malolos Kiosk</v>
          </cell>
          <cell r="F198" t="str">
            <v>Occhialera Filipinas, Inc.</v>
          </cell>
        </row>
        <row r="199">
          <cell r="D199" t="str">
            <v>RP Antipolo Visualities</v>
          </cell>
          <cell r="F199" t="str">
            <v>Occhialera Filipinas, Inc.</v>
          </cell>
        </row>
        <row r="200">
          <cell r="D200" t="str">
            <v>Solenad 3, Nuvali Extension</v>
          </cell>
          <cell r="F200" t="str">
            <v>Occhialera Filipinas, Inc.</v>
          </cell>
        </row>
        <row r="201">
          <cell r="D201" t="str">
            <v>Trinoma</v>
          </cell>
          <cell r="F201" t="str">
            <v>Occhialera Filipinas, Inc.</v>
          </cell>
        </row>
        <row r="202">
          <cell r="D202" t="str">
            <v>DS Landmark Makati</v>
          </cell>
          <cell r="F202" t="str">
            <v>Occhialera Filipinas, Inc.</v>
          </cell>
        </row>
        <row r="203">
          <cell r="D203" t="str">
            <v>DS Landmark Nuvali</v>
          </cell>
          <cell r="F203" t="str">
            <v>Occhialera Filipinas, Inc.</v>
          </cell>
        </row>
        <row r="204">
          <cell r="D204" t="str">
            <v>DS Landmark Alabang</v>
          </cell>
          <cell r="F204" t="str">
            <v>Occhialera Filipinas, Inc.</v>
          </cell>
        </row>
        <row r="205">
          <cell r="D205" t="str">
            <v>DS Trinoma Landmark</v>
          </cell>
          <cell r="F205" t="str">
            <v>Occhialera Filipinas, Inc.</v>
          </cell>
        </row>
        <row r="206">
          <cell r="D206" t="str">
            <v>Occhialera Filipinas, Inc.</v>
          </cell>
          <cell r="F206" t="str">
            <v>Occhialera Filipinas, Inc.</v>
          </cell>
        </row>
        <row r="207">
          <cell r="D207" t="str">
            <v>SM City Annex</v>
          </cell>
          <cell r="F207" t="str">
            <v xml:space="preserve"> Occhialli, Inc.</v>
          </cell>
        </row>
        <row r="208">
          <cell r="D208" t="str">
            <v>SM City San Pablo</v>
          </cell>
          <cell r="F208" t="str">
            <v xml:space="preserve"> Occhialli, Inc.</v>
          </cell>
        </row>
        <row r="209">
          <cell r="D209" t="str">
            <v>SM City Calamba</v>
          </cell>
          <cell r="F209" t="str">
            <v xml:space="preserve"> Occhialli, Inc.</v>
          </cell>
        </row>
        <row r="210">
          <cell r="D210" t="str">
            <v>SM City Novaliches</v>
          </cell>
          <cell r="F210" t="str">
            <v xml:space="preserve"> Occhialli, Inc.</v>
          </cell>
        </row>
        <row r="211">
          <cell r="D211" t="str">
            <v>Puregold Tanza Cavite</v>
          </cell>
          <cell r="F211" t="str">
            <v xml:space="preserve"> Occhialli, Inc.</v>
          </cell>
        </row>
        <row r="212">
          <cell r="D212" t="str">
            <v>SM City Taytay Active Eyewear</v>
          </cell>
          <cell r="F212" t="str">
            <v xml:space="preserve"> Occhialli, Inc.</v>
          </cell>
        </row>
        <row r="213">
          <cell r="D213" t="str">
            <v>Neo Calapan Mall</v>
          </cell>
          <cell r="F213" t="str">
            <v xml:space="preserve"> Occhialli, Inc.</v>
          </cell>
        </row>
        <row r="214">
          <cell r="D214" t="str">
            <v>SM City Consolacion CEBU</v>
          </cell>
          <cell r="F214" t="str">
            <v xml:space="preserve"> Occhialli, Inc.</v>
          </cell>
        </row>
        <row r="215">
          <cell r="D215" t="str">
            <v>SM City San Fernando</v>
          </cell>
          <cell r="F215" t="str">
            <v xml:space="preserve"> Occhialli, Inc.</v>
          </cell>
        </row>
        <row r="216">
          <cell r="D216" t="str">
            <v>SM GenSan</v>
          </cell>
          <cell r="F216" t="str">
            <v xml:space="preserve"> Occhialli, Inc.</v>
          </cell>
        </row>
        <row r="217">
          <cell r="D217" t="str">
            <v>SM Lanang Premier</v>
          </cell>
          <cell r="F217" t="str">
            <v xml:space="preserve"> Occhialli, Inc.</v>
          </cell>
        </row>
        <row r="218">
          <cell r="D218" t="str">
            <v>SM Aura Premier</v>
          </cell>
          <cell r="F218" t="str">
            <v xml:space="preserve"> Occhialli, Inc.</v>
          </cell>
        </row>
        <row r="219">
          <cell r="D219" t="str">
            <v>KCC Veranza Mall</v>
          </cell>
          <cell r="F219" t="str">
            <v xml:space="preserve"> Occhialli, Inc.</v>
          </cell>
        </row>
        <row r="220">
          <cell r="D220" t="str">
            <v>Xentro Mall Lemery</v>
          </cell>
          <cell r="F220" t="str">
            <v xml:space="preserve"> Occhialli, Inc.</v>
          </cell>
        </row>
        <row r="221">
          <cell r="D221" t="str">
            <v>Manna Mall</v>
          </cell>
          <cell r="F221" t="str">
            <v xml:space="preserve"> Occhialli, Inc.</v>
          </cell>
        </row>
        <row r="222">
          <cell r="D222" t="str">
            <v>Gaisano Mall Tagum</v>
          </cell>
          <cell r="F222" t="str">
            <v xml:space="preserve"> Occhialli, Inc.</v>
          </cell>
        </row>
        <row r="223">
          <cell r="D223" t="str">
            <v>Fisher Mall</v>
          </cell>
          <cell r="F223" t="str">
            <v xml:space="preserve"> Occhialli, Inc.</v>
          </cell>
        </row>
        <row r="224">
          <cell r="D224" t="str">
            <v>Starmall Alabang</v>
          </cell>
          <cell r="F224" t="str">
            <v xml:space="preserve"> Occhialli, Inc.</v>
          </cell>
        </row>
        <row r="225">
          <cell r="D225" t="str">
            <v>SM City BF Parañaque</v>
          </cell>
          <cell r="F225" t="str">
            <v xml:space="preserve"> Occhialli, Inc.</v>
          </cell>
        </row>
        <row r="226">
          <cell r="D226" t="str">
            <v>SM City Cauayan</v>
          </cell>
          <cell r="F226" t="str">
            <v xml:space="preserve"> Occhialli, Inc.</v>
          </cell>
        </row>
        <row r="227">
          <cell r="D227" t="str">
            <v>Gateway Mall</v>
          </cell>
          <cell r="F227" t="str">
            <v xml:space="preserve"> Occhialli, Inc.</v>
          </cell>
        </row>
        <row r="228">
          <cell r="D228" t="str">
            <v>Sun Star Mall</v>
          </cell>
          <cell r="F228" t="str">
            <v xml:space="preserve"> Occhialli, Inc.</v>
          </cell>
        </row>
        <row r="229">
          <cell r="D229" t="str">
            <v>Montalban Town Center</v>
          </cell>
          <cell r="F229" t="str">
            <v xml:space="preserve"> Occhialli, Inc.</v>
          </cell>
        </row>
        <row r="230">
          <cell r="D230" t="str">
            <v>Gaisano Mall Davao</v>
          </cell>
          <cell r="F230" t="str">
            <v xml:space="preserve"> Occhialli, Inc.</v>
          </cell>
        </row>
        <row r="231">
          <cell r="D231" t="str">
            <v>Marikina Riverbanks Center</v>
          </cell>
          <cell r="F231" t="str">
            <v xml:space="preserve"> Occhialli, Inc.</v>
          </cell>
        </row>
        <row r="232">
          <cell r="D232" t="str">
            <v>SM City Bacolod SEEN</v>
          </cell>
          <cell r="F232" t="str">
            <v xml:space="preserve"> Occhialli, Inc.</v>
          </cell>
        </row>
        <row r="233">
          <cell r="D233" t="str">
            <v>SM Megacenter Cabanatuan</v>
          </cell>
          <cell r="F233" t="str">
            <v xml:space="preserve"> Occhialli, Inc.</v>
          </cell>
        </row>
        <row r="234">
          <cell r="D234" t="str">
            <v>Farmers Plaza</v>
          </cell>
          <cell r="F234" t="str">
            <v xml:space="preserve"> Occhialli, Inc.</v>
          </cell>
        </row>
        <row r="235">
          <cell r="D235" t="str">
            <v>SM Seaside City Cebu</v>
          </cell>
          <cell r="F235" t="str">
            <v xml:space="preserve"> Occhialli, Inc.</v>
          </cell>
        </row>
        <row r="236">
          <cell r="D236" t="str">
            <v>Vista Mall Taguig</v>
          </cell>
          <cell r="F236" t="str">
            <v xml:space="preserve"> Occhialli, Inc.</v>
          </cell>
        </row>
        <row r="237">
          <cell r="D237" t="str">
            <v>SM Lanang Davao Supermarket</v>
          </cell>
          <cell r="F237" t="str">
            <v xml:space="preserve"> Occhialli, Inc.</v>
          </cell>
        </row>
        <row r="238">
          <cell r="D238" t="str">
            <v>SM North Edsa Annex Visualities</v>
          </cell>
          <cell r="F238" t="str">
            <v xml:space="preserve"> Occhialli, Inc.</v>
          </cell>
        </row>
        <row r="239">
          <cell r="D239" t="str">
            <v>Visualities SMFairview Kids Up</v>
          </cell>
          <cell r="F239" t="str">
            <v xml:space="preserve"> Occhialli, Inc.</v>
          </cell>
        </row>
        <row r="240">
          <cell r="D240" t="str">
            <v>Gaisano Mall Davao 2</v>
          </cell>
          <cell r="F240" t="str">
            <v xml:space="preserve"> Occhialli, Inc.</v>
          </cell>
        </row>
        <row r="241">
          <cell r="D241" t="str">
            <v>Gateway Mall 2</v>
          </cell>
          <cell r="F241" t="str">
            <v xml:space="preserve"> Occhialli, Inc.</v>
          </cell>
        </row>
        <row r="242">
          <cell r="D242" t="str">
            <v>SM Supermarket Calamba</v>
          </cell>
          <cell r="F242" t="str">
            <v>Occhialli, Inc.</v>
          </cell>
        </row>
        <row r="243">
          <cell r="D243" t="str">
            <v>Occhialli, Inc.</v>
          </cell>
          <cell r="F243" t="str">
            <v xml:space="preserve"> Occhialli, Inc.</v>
          </cell>
        </row>
        <row r="244">
          <cell r="D244" t="str">
            <v>Tanay Town Center</v>
          </cell>
          <cell r="F244" t="str">
            <v xml:space="preserve"> Purple Specs, Inc.</v>
          </cell>
        </row>
        <row r="245">
          <cell r="D245" t="str">
            <v>Vista Mall Sta. Rosa</v>
          </cell>
          <cell r="F245" t="str">
            <v xml:space="preserve"> Purple Specs, Inc.</v>
          </cell>
        </row>
        <row r="246">
          <cell r="D246" t="str">
            <v>SM Center Ormoc</v>
          </cell>
          <cell r="F246" t="str">
            <v xml:space="preserve"> Purple Specs, Inc.</v>
          </cell>
        </row>
        <row r="247">
          <cell r="D247" t="str">
            <v>Xentro Mall Polangui</v>
          </cell>
          <cell r="F247" t="str">
            <v xml:space="preserve"> Purple Specs, Inc.</v>
          </cell>
        </row>
        <row r="248">
          <cell r="D248" t="str">
            <v>Xentro Mall Antipolo</v>
          </cell>
          <cell r="F248" t="str">
            <v xml:space="preserve"> Purple Specs, Inc.</v>
          </cell>
        </row>
        <row r="249">
          <cell r="D249" t="str">
            <v>Xentro Mall Batangas Terminal</v>
          </cell>
          <cell r="F249" t="str">
            <v xml:space="preserve"> Purple Specs, Inc.</v>
          </cell>
        </row>
        <row r="250">
          <cell r="D250" t="str">
            <v>Victory Mall and Market Tanauan</v>
          </cell>
          <cell r="F250" t="str">
            <v xml:space="preserve"> Purple Specs, Inc.</v>
          </cell>
        </row>
        <row r="251">
          <cell r="D251" t="str">
            <v>Waltermart NE San Jose</v>
          </cell>
          <cell r="F251" t="str">
            <v xml:space="preserve"> Purple Specs, Inc.</v>
          </cell>
        </row>
        <row r="252">
          <cell r="D252" t="str">
            <v>SM City Legazpi</v>
          </cell>
          <cell r="F252" t="str">
            <v xml:space="preserve"> Purple Specs, Inc.</v>
          </cell>
        </row>
        <row r="253">
          <cell r="D253" t="str">
            <v>Geege Mall</v>
          </cell>
          <cell r="F253" t="str">
            <v xml:space="preserve"> Purple Specs, Inc.</v>
          </cell>
        </row>
        <row r="254">
          <cell r="D254" t="str">
            <v>Gaisano Capital Surigao Mall</v>
          </cell>
          <cell r="F254" t="str">
            <v xml:space="preserve"> Purple Specs, Inc.</v>
          </cell>
        </row>
        <row r="255">
          <cell r="D255" t="str">
            <v>SM Center Dagupan</v>
          </cell>
          <cell r="F255" t="str">
            <v xml:space="preserve"> Purple Specs, Inc.</v>
          </cell>
        </row>
        <row r="256">
          <cell r="D256" t="str">
            <v>Iba Town Center</v>
          </cell>
          <cell r="F256" t="str">
            <v xml:space="preserve"> Purple Specs, Inc.</v>
          </cell>
        </row>
        <row r="257">
          <cell r="D257" t="str">
            <v>Waltermart Baliwag</v>
          </cell>
          <cell r="F257" t="str">
            <v xml:space="preserve"> Purple Specs, Inc.</v>
          </cell>
        </row>
        <row r="258">
          <cell r="D258" t="str">
            <v>Gaisano City Mall CDO</v>
          </cell>
          <cell r="F258" t="str">
            <v xml:space="preserve"> Purple Specs, Inc.</v>
          </cell>
        </row>
        <row r="259">
          <cell r="D259" t="str">
            <v>Victory Mall Antipolo</v>
          </cell>
          <cell r="F259" t="str">
            <v xml:space="preserve"> Purple Specs, Inc.</v>
          </cell>
        </row>
        <row r="260">
          <cell r="D260" t="str">
            <v>Waltermart San Pascual</v>
          </cell>
          <cell r="F260" t="str">
            <v xml:space="preserve"> Purple Specs, Inc.</v>
          </cell>
        </row>
        <row r="261">
          <cell r="D261" t="str">
            <v>Purple Specs, Inc.</v>
          </cell>
          <cell r="F261" t="str">
            <v xml:space="preserve"> Purple Specs, Inc.</v>
          </cell>
        </row>
        <row r="262">
          <cell r="D262" t="str">
            <v>NE Baler</v>
          </cell>
          <cell r="F262" t="str">
            <v xml:space="preserve"> Specs Plus, Inc.</v>
          </cell>
        </row>
        <row r="263">
          <cell r="D263" t="str">
            <v>Puregold Tayuman</v>
          </cell>
          <cell r="F263" t="str">
            <v xml:space="preserve"> Specs Plus, Inc.</v>
          </cell>
        </row>
        <row r="264">
          <cell r="D264" t="str">
            <v>Puregold Tayuman</v>
          </cell>
          <cell r="F264" t="str">
            <v xml:space="preserve"> Specs Plus, Inc.</v>
          </cell>
        </row>
        <row r="265">
          <cell r="D265" t="str">
            <v>Gaisano Capital San Jose</v>
          </cell>
          <cell r="F265" t="str">
            <v xml:space="preserve"> Specs Plus, Inc.</v>
          </cell>
        </row>
        <row r="266">
          <cell r="D266" t="str">
            <v>Waltermart Talavera</v>
          </cell>
          <cell r="F266" t="str">
            <v xml:space="preserve"> Specs Plus, Inc.</v>
          </cell>
        </row>
        <row r="267">
          <cell r="D267" t="str">
            <v>Vista Mall Dasma</v>
          </cell>
          <cell r="F267" t="str">
            <v xml:space="preserve"> Specs Plus, Inc.</v>
          </cell>
        </row>
        <row r="268">
          <cell r="D268" t="str">
            <v>Capitol Sqr Bataan</v>
          </cell>
          <cell r="F268" t="str">
            <v xml:space="preserve"> Specs Plus, Inc.</v>
          </cell>
        </row>
        <row r="269">
          <cell r="D269" t="str">
            <v>Magic Mall Annex</v>
          </cell>
          <cell r="F269" t="str">
            <v xml:space="preserve"> Specs Plus, Inc.</v>
          </cell>
        </row>
        <row r="270">
          <cell r="D270" t="str">
            <v>Waltermart Sta Rosa</v>
          </cell>
          <cell r="F270" t="str">
            <v xml:space="preserve"> Specs Plus, Inc.</v>
          </cell>
        </row>
        <row r="271">
          <cell r="D271" t="str">
            <v>Waltermart Sucat</v>
          </cell>
          <cell r="F271" t="str">
            <v xml:space="preserve"> Specs Plus, Inc.</v>
          </cell>
        </row>
        <row r="272">
          <cell r="D272" t="str">
            <v>Gaisano Capital Pagadian</v>
          </cell>
          <cell r="F272" t="str">
            <v xml:space="preserve"> Specs Plus, Inc.</v>
          </cell>
        </row>
        <row r="273">
          <cell r="D273" t="str">
            <v>Gaisano Capital Ozamiz</v>
          </cell>
          <cell r="F273" t="str">
            <v xml:space="preserve"> Specs Plus, Inc.</v>
          </cell>
        </row>
        <row r="274">
          <cell r="D274" t="str">
            <v>Imall Famy Laguna</v>
          </cell>
          <cell r="F274" t="str">
            <v xml:space="preserve"> Specs Plus, Inc.</v>
          </cell>
        </row>
        <row r="275">
          <cell r="D275" t="str">
            <v>Xentro Mall Roxas Isabela</v>
          </cell>
          <cell r="F275" t="str">
            <v xml:space="preserve"> Specs Plus, Inc.</v>
          </cell>
        </row>
        <row r="276">
          <cell r="D276" t="str">
            <v>Xentro Mall Cabagan</v>
          </cell>
          <cell r="F276" t="str">
            <v xml:space="preserve"> Specs Plus, Inc.</v>
          </cell>
        </row>
        <row r="277">
          <cell r="D277" t="str">
            <v>Metro Market Market</v>
          </cell>
          <cell r="F277" t="str">
            <v xml:space="preserve"> Specs Plus, Inc.</v>
          </cell>
        </row>
        <row r="278">
          <cell r="D278" t="str">
            <v>Waltermart Sta Maria</v>
          </cell>
          <cell r="F278" t="str">
            <v xml:space="preserve"> Specs Plus, Inc.</v>
          </cell>
        </row>
        <row r="279">
          <cell r="D279" t="str">
            <v>Gaisano Capital Binangonan</v>
          </cell>
          <cell r="F279" t="str">
            <v xml:space="preserve"> Specs Plus, Inc.</v>
          </cell>
        </row>
        <row r="280">
          <cell r="D280" t="str">
            <v>Savemore Market Baybay Leyte</v>
          </cell>
          <cell r="F280" t="str">
            <v xml:space="preserve"> Specs Plus, Inc.</v>
          </cell>
        </row>
        <row r="281">
          <cell r="D281" t="str">
            <v>Deca Mall Tondo</v>
          </cell>
          <cell r="F281" t="str">
            <v>Specs Plus, Inc.</v>
          </cell>
        </row>
        <row r="282">
          <cell r="D282" t="str">
            <v>Specs Plus, Inc.</v>
          </cell>
          <cell r="F282" t="str">
            <v xml:space="preserve"> Specs Plus, Inc.</v>
          </cell>
        </row>
        <row r="283">
          <cell r="D283" t="str">
            <v>Waltermart Makiling</v>
          </cell>
          <cell r="F283" t="str">
            <v xml:space="preserve"> Spectacle Trolley Corp.</v>
          </cell>
        </row>
        <row r="284">
          <cell r="D284" t="str">
            <v>KCC Zamboanga</v>
          </cell>
          <cell r="F284" t="str">
            <v xml:space="preserve"> Spectacle Trolley Corp.</v>
          </cell>
        </row>
        <row r="285">
          <cell r="D285" t="str">
            <v>Puregold Paso de Blas</v>
          </cell>
          <cell r="F285" t="str">
            <v xml:space="preserve"> Spectacle Trolley Corp.</v>
          </cell>
        </row>
        <row r="286">
          <cell r="D286" t="str">
            <v>Waltermart Carmona</v>
          </cell>
          <cell r="F286" t="str">
            <v xml:space="preserve"> Spectacle Trolley Corp.</v>
          </cell>
        </row>
        <row r="287">
          <cell r="D287" t="str">
            <v>Waltermart N EDSA Munoz</v>
          </cell>
          <cell r="F287" t="str">
            <v xml:space="preserve"> Spectacle Trolley Corp.</v>
          </cell>
        </row>
        <row r="288">
          <cell r="D288" t="str">
            <v>SM City Grand Central</v>
          </cell>
          <cell r="F288" t="str">
            <v xml:space="preserve"> Spectacle Trolley Corp.</v>
          </cell>
        </row>
        <row r="289">
          <cell r="D289" t="str">
            <v>Gaisano Capital Tandag</v>
          </cell>
          <cell r="F289" t="str">
            <v xml:space="preserve"> Spectacle Trolley Corp.</v>
          </cell>
        </row>
        <row r="290">
          <cell r="D290" t="str">
            <v>Waltermart Tanauan</v>
          </cell>
          <cell r="F290" t="str">
            <v xml:space="preserve"> Spectacle Trolley Corp.</v>
          </cell>
        </row>
        <row r="291">
          <cell r="D291" t="str">
            <v>Uptown Mall BGC</v>
          </cell>
          <cell r="F291" t="str">
            <v xml:space="preserve"> Spectacle Trolley Corp.</v>
          </cell>
        </row>
        <row r="292">
          <cell r="D292" t="str">
            <v>Waltermart Sta Rosa Bel Air</v>
          </cell>
          <cell r="F292" t="str">
            <v xml:space="preserve"> Spectacle Trolley Corp.</v>
          </cell>
        </row>
        <row r="293">
          <cell r="D293" t="str">
            <v>SM City Tuguegarao</v>
          </cell>
          <cell r="F293" t="str">
            <v xml:space="preserve"> Spectacle Trolley Corp.</v>
          </cell>
        </row>
        <row r="294">
          <cell r="D294" t="str">
            <v>Parañaque Integrated Terminal Exchange (PITX)</v>
          </cell>
          <cell r="F294" t="str">
            <v xml:space="preserve"> Spectacle Trolley Corp.</v>
          </cell>
        </row>
        <row r="295">
          <cell r="D295" t="str">
            <v>Gaisano Capital Masbate</v>
          </cell>
          <cell r="F295" t="str">
            <v xml:space="preserve"> Spectacle Trolley Corp.</v>
          </cell>
        </row>
        <row r="296">
          <cell r="D296" t="str">
            <v>Gaisano Mall Panabo</v>
          </cell>
          <cell r="F296" t="str">
            <v xml:space="preserve"> Spectacle Trolley Corp.</v>
          </cell>
        </row>
        <row r="297">
          <cell r="D297" t="str">
            <v>SM City Tuguegarao Kids</v>
          </cell>
          <cell r="F297" t="str">
            <v xml:space="preserve"> Spectacle Trolley Corp.</v>
          </cell>
        </row>
        <row r="298">
          <cell r="D298" t="str">
            <v>Waltermart Caloocan</v>
          </cell>
          <cell r="F298" t="str">
            <v xml:space="preserve"> Spectacle Trolley Corp.</v>
          </cell>
        </row>
        <row r="299">
          <cell r="D299" t="str">
            <v>City Mall Boracay</v>
          </cell>
          <cell r="F299" t="str">
            <v xml:space="preserve"> Spectacle Trolley Corp.</v>
          </cell>
        </row>
        <row r="300">
          <cell r="D300" t="str">
            <v>Spectacle Trolley Corp.</v>
          </cell>
          <cell r="F300" t="str">
            <v xml:space="preserve"> Spectacle Trolley Corp.</v>
          </cell>
        </row>
        <row r="301">
          <cell r="D301" t="str">
            <v>SM City Sta. Mesa</v>
          </cell>
          <cell r="F301" t="str">
            <v xml:space="preserve"> Sight Testers, Inc.</v>
          </cell>
        </row>
        <row r="302">
          <cell r="D302" t="str">
            <v>SM City Cabanatuan</v>
          </cell>
          <cell r="F302" t="str">
            <v xml:space="preserve"> Sight Testers, Inc.</v>
          </cell>
        </row>
        <row r="303">
          <cell r="D303" t="str">
            <v>Fairview Terraces</v>
          </cell>
          <cell r="F303" t="str">
            <v xml:space="preserve"> Sight Testers, Inc.</v>
          </cell>
        </row>
        <row r="304">
          <cell r="D304" t="str">
            <v>SM City Trece Martires</v>
          </cell>
          <cell r="F304" t="str">
            <v xml:space="preserve"> Sight Testers, Inc.</v>
          </cell>
        </row>
        <row r="305">
          <cell r="D305" t="str">
            <v>SM City San Jose</v>
          </cell>
          <cell r="F305" t="str">
            <v xml:space="preserve"> Sight Testers, Inc.</v>
          </cell>
        </row>
        <row r="306">
          <cell r="D306" t="str">
            <v>Festival Mall Premier</v>
          </cell>
          <cell r="F306" t="str">
            <v xml:space="preserve"> Sight Testers, Inc.</v>
          </cell>
        </row>
        <row r="307">
          <cell r="D307" t="str">
            <v>Pacific Mall Lucena</v>
          </cell>
          <cell r="F307" t="str">
            <v xml:space="preserve"> Sight Testers, Inc.</v>
          </cell>
        </row>
        <row r="308">
          <cell r="D308" t="str">
            <v>San Carlos Town Center</v>
          </cell>
          <cell r="F308" t="str">
            <v xml:space="preserve"> Sight Testers, Inc.</v>
          </cell>
        </row>
        <row r="309">
          <cell r="D309" t="str">
            <v>Victory Mall Caloocan</v>
          </cell>
          <cell r="F309" t="str">
            <v xml:space="preserve"> Sight Testers, Inc.</v>
          </cell>
        </row>
        <row r="310">
          <cell r="D310" t="str">
            <v>Waltermart Balanga</v>
          </cell>
          <cell r="F310" t="str">
            <v xml:space="preserve"> Sight Testers, Inc.</v>
          </cell>
        </row>
        <row r="311">
          <cell r="D311" t="str">
            <v>SM Dasmarinas Supermarket</v>
          </cell>
          <cell r="F311" t="str">
            <v xml:space="preserve"> Sight Testers, Inc.</v>
          </cell>
        </row>
        <row r="312">
          <cell r="D312" t="str">
            <v>Savemore Paniqui</v>
          </cell>
          <cell r="F312" t="str">
            <v xml:space="preserve"> Sight Testers, Inc.</v>
          </cell>
        </row>
        <row r="313">
          <cell r="D313" t="str">
            <v>Waltermart Batangas</v>
          </cell>
          <cell r="F313" t="str">
            <v xml:space="preserve"> Sight Testers, Inc.</v>
          </cell>
        </row>
        <row r="314">
          <cell r="D314" t="str">
            <v>SM City Daet</v>
          </cell>
          <cell r="F314" t="str">
            <v xml:space="preserve"> Sight Testers, Inc.</v>
          </cell>
        </row>
        <row r="315">
          <cell r="D315" t="str">
            <v>Fairview Terraces Premier</v>
          </cell>
          <cell r="F315" t="str">
            <v xml:space="preserve"> Sight Testers, Inc.</v>
          </cell>
        </row>
        <row r="316">
          <cell r="D316" t="str">
            <v>SM Savemore Market Apalit Kids and Up</v>
          </cell>
          <cell r="F316" t="str">
            <v xml:space="preserve"> Sight Testers, Inc.</v>
          </cell>
        </row>
        <row r="317">
          <cell r="D317" t="str">
            <v>San Carlos Town Center 2</v>
          </cell>
          <cell r="F317" t="str">
            <v xml:space="preserve"> Sight Testers, Inc.</v>
          </cell>
        </row>
        <row r="318">
          <cell r="D318" t="str">
            <v>SM City Sto Tomas Batangas</v>
          </cell>
          <cell r="F318" t="str">
            <v xml:space="preserve"> Sight Testers, Inc.</v>
          </cell>
        </row>
        <row r="319">
          <cell r="D319" t="str">
            <v>Xentro Mall Angono</v>
          </cell>
          <cell r="F319" t="str">
            <v xml:space="preserve"> Sight Testers, Inc.</v>
          </cell>
        </row>
        <row r="320">
          <cell r="D320" t="str">
            <v>Waltermart Cabanatuan</v>
          </cell>
          <cell r="F320" t="str">
            <v xml:space="preserve"> Sight Testers, Inc.</v>
          </cell>
        </row>
        <row r="321">
          <cell r="D321" t="str">
            <v>Sight Testers, Inc.</v>
          </cell>
          <cell r="F321" t="str">
            <v xml:space="preserve"> Sight Testers, Inc.</v>
          </cell>
        </row>
        <row r="322">
          <cell r="D322" t="str">
            <v>Robinsons Place Lipa</v>
          </cell>
          <cell r="F322" t="str">
            <v xml:space="preserve"> Vue Circle Corp.</v>
          </cell>
        </row>
        <row r="323">
          <cell r="D323" t="str">
            <v>Robinsons Place Tacloban Kids &amp; Up</v>
          </cell>
          <cell r="F323" t="str">
            <v xml:space="preserve"> Vue Circle Corp.</v>
          </cell>
        </row>
        <row r="324">
          <cell r="D324" t="str">
            <v>Ayala Subic Bay Town</v>
          </cell>
          <cell r="F324" t="str">
            <v xml:space="preserve"> Vue Circle Corp.</v>
          </cell>
        </row>
        <row r="325">
          <cell r="D325" t="str">
            <v>Robinsons Place Metro East</v>
          </cell>
          <cell r="F325" t="str">
            <v xml:space="preserve"> Vue Circle Corp.</v>
          </cell>
        </row>
        <row r="326">
          <cell r="D326" t="str">
            <v>Robinsons Los Banos</v>
          </cell>
          <cell r="F326" t="str">
            <v xml:space="preserve"> Vue Circle Corp.</v>
          </cell>
        </row>
        <row r="327">
          <cell r="D327" t="str">
            <v>Robinsons Bacolod</v>
          </cell>
          <cell r="F327" t="str">
            <v xml:space="preserve"> Vue Circle Corp.</v>
          </cell>
        </row>
        <row r="328">
          <cell r="D328" t="str">
            <v>Robinsons Place La Union</v>
          </cell>
          <cell r="F328" t="str">
            <v xml:space="preserve"> Vue Circle Corp.</v>
          </cell>
        </row>
        <row r="329">
          <cell r="D329" t="str">
            <v>Robinsons Place Imus</v>
          </cell>
          <cell r="F329" t="str">
            <v xml:space="preserve"> Vue Circle Corp.</v>
          </cell>
        </row>
        <row r="330">
          <cell r="D330" t="str">
            <v>Robinsons Place Palawan</v>
          </cell>
          <cell r="F330" t="str">
            <v xml:space="preserve"> Vue Circle Corp.</v>
          </cell>
        </row>
        <row r="331">
          <cell r="D331" t="str">
            <v>Robinsons Place Tacloban Marasbaras</v>
          </cell>
          <cell r="F331" t="str">
            <v xml:space="preserve"> Vue Circle Corp.</v>
          </cell>
        </row>
        <row r="332">
          <cell r="D332" t="str">
            <v>Glorietta 1</v>
          </cell>
          <cell r="F332" t="str">
            <v xml:space="preserve"> Vue Circle Corp.</v>
          </cell>
        </row>
        <row r="333">
          <cell r="D333" t="str">
            <v>Robinsons Place Sta. Rosa</v>
          </cell>
          <cell r="F333" t="str">
            <v xml:space="preserve"> Vue Circle Corp.</v>
          </cell>
        </row>
        <row r="334">
          <cell r="D334" t="str">
            <v>Robinsons Place Pangasinan</v>
          </cell>
          <cell r="F334" t="str">
            <v xml:space="preserve"> Vue Circle Corp.</v>
          </cell>
        </row>
        <row r="335">
          <cell r="D335" t="str">
            <v>Ayala Malls Circuit</v>
          </cell>
          <cell r="F335" t="str">
            <v xml:space="preserve"> Vue Circle Corp.</v>
          </cell>
        </row>
        <row r="336">
          <cell r="D336" t="str">
            <v>Cash And Carry Mall</v>
          </cell>
          <cell r="F336" t="str">
            <v xml:space="preserve"> Vue Circle Corp.</v>
          </cell>
        </row>
        <row r="337">
          <cell r="D337" t="str">
            <v>Robinsons Place Tagaytay</v>
          </cell>
          <cell r="F337" t="str">
            <v xml:space="preserve"> Vue Circle Corp.</v>
          </cell>
        </row>
        <row r="338">
          <cell r="D338" t="str">
            <v>Ayala Malls Harbor Point</v>
          </cell>
          <cell r="F338" t="str">
            <v xml:space="preserve"> Vue Circle Corp.</v>
          </cell>
        </row>
        <row r="339">
          <cell r="D339" t="str">
            <v>Ayala the 30th</v>
          </cell>
          <cell r="F339" t="str">
            <v xml:space="preserve"> Vue Circle Corp.</v>
          </cell>
        </row>
        <row r="340">
          <cell r="D340" t="str">
            <v>Ayala Mall Legazpi</v>
          </cell>
          <cell r="F340" t="str">
            <v xml:space="preserve"> Vue Circle Corp.</v>
          </cell>
        </row>
        <row r="341">
          <cell r="D341" t="str">
            <v>Robinsons Cainta</v>
          </cell>
          <cell r="F341" t="str">
            <v xml:space="preserve"> Vue Circle Corp.</v>
          </cell>
        </row>
        <row r="342">
          <cell r="D342" t="str">
            <v>Robinsons Metro East Kids &amp; Up</v>
          </cell>
          <cell r="F342" t="str">
            <v xml:space="preserve"> Vue Circle Corp.</v>
          </cell>
        </row>
        <row r="343">
          <cell r="D343" t="str">
            <v>Vue Circle Corp.</v>
          </cell>
          <cell r="F343" t="str">
            <v xml:space="preserve"> Vue Circle Corp.</v>
          </cell>
        </row>
        <row r="344">
          <cell r="D344" t="str">
            <v>Venice Grand Canal</v>
          </cell>
          <cell r="F344" t="str">
            <v xml:space="preserve"> VueConcepts, Inc.</v>
          </cell>
        </row>
        <row r="345">
          <cell r="D345" t="str">
            <v>Shangri La Plaza Mall</v>
          </cell>
          <cell r="F345" t="str">
            <v xml:space="preserve"> VueConcepts, Inc.</v>
          </cell>
        </row>
        <row r="346">
          <cell r="D346" t="str">
            <v>Robinsons Place Roxas</v>
          </cell>
          <cell r="F346" t="str">
            <v xml:space="preserve"> VueConcepts, Inc.</v>
          </cell>
        </row>
        <row r="347">
          <cell r="D347" t="str">
            <v>Robinsons Place Santiago Kids &amp; Up</v>
          </cell>
          <cell r="F347" t="str">
            <v xml:space="preserve"> VueConcepts, Inc.</v>
          </cell>
        </row>
        <row r="348">
          <cell r="D348" t="str">
            <v>Southwoods Mall</v>
          </cell>
          <cell r="F348" t="str">
            <v xml:space="preserve"> VueConcepts, Inc.</v>
          </cell>
        </row>
        <row r="349">
          <cell r="D349" t="str">
            <v>Beantown Ventures, Inc.</v>
          </cell>
          <cell r="F349" t="str">
            <v xml:space="preserve"> Beantown Ventures Holdings, Inc.</v>
          </cell>
        </row>
        <row r="350">
          <cell r="D350" t="str">
            <v>Domenicorp Industries Inc.</v>
          </cell>
          <cell r="F350" t="str">
            <v xml:space="preserve"> Domenicorp Industries Inc.</v>
          </cell>
        </row>
        <row r="351">
          <cell r="D351" t="str">
            <v>Eyestyle Opulence Inc</v>
          </cell>
          <cell r="F351" t="str">
            <v xml:space="preserve"> Eyestyle Opulence Inc</v>
          </cell>
        </row>
        <row r="352">
          <cell r="D352" t="str">
            <v>Robinsons Place Naga</v>
          </cell>
          <cell r="F352" t="str">
            <v xml:space="preserve"> VueConcepts, Inc.</v>
          </cell>
        </row>
        <row r="353">
          <cell r="D353" t="str">
            <v>Acacia Lane Holdings, Inc.</v>
          </cell>
          <cell r="F353" t="str">
            <v xml:space="preserve"> Acacia Lane Holdings, Inc.</v>
          </cell>
        </row>
        <row r="354">
          <cell r="D354" t="str">
            <v>Gracefocals, Inc.</v>
          </cell>
          <cell r="F354" t="str">
            <v xml:space="preserve"> Gracefocals, Inc.</v>
          </cell>
        </row>
        <row r="355">
          <cell r="D355" t="str">
            <v>Cloverleaf</v>
          </cell>
          <cell r="F355" t="str">
            <v xml:space="preserve"> VueConcepts, Inc.</v>
          </cell>
        </row>
        <row r="356">
          <cell r="D356" t="str">
            <v>Legacie Circle Inc</v>
          </cell>
          <cell r="F356" t="str">
            <v xml:space="preserve"> Legacie Circle Inc</v>
          </cell>
        </row>
        <row r="357">
          <cell r="D357" t="str">
            <v>Robinsons Place Dumaguete</v>
          </cell>
          <cell r="F357" t="str">
            <v xml:space="preserve"> VueConcepts, Inc.</v>
          </cell>
        </row>
        <row r="358">
          <cell r="D358" t="str">
            <v>Logan Lane Holdings Inc.</v>
          </cell>
          <cell r="F358" t="str">
            <v xml:space="preserve"> Logan Lane Holdings Inc.</v>
          </cell>
        </row>
        <row r="359">
          <cell r="D359" t="str">
            <v>Lonetree Inc</v>
          </cell>
          <cell r="F359" t="str">
            <v xml:space="preserve"> Lonetree Inc</v>
          </cell>
        </row>
        <row r="360">
          <cell r="D360" t="str">
            <v>Robinsons North Tacloban</v>
          </cell>
          <cell r="F360" t="str">
            <v xml:space="preserve"> VueConcepts, Inc.</v>
          </cell>
        </row>
        <row r="361">
          <cell r="D361" t="str">
            <v>Robinsons Place Ormoc</v>
          </cell>
          <cell r="F361" t="str">
            <v xml:space="preserve"> VueConcepts, Inc.</v>
          </cell>
        </row>
        <row r="362">
          <cell r="D362" t="str">
            <v>Robinsons Place Iligan EO Kids and Up</v>
          </cell>
          <cell r="F362" t="str">
            <v xml:space="preserve"> VueConcepts, Inc.</v>
          </cell>
        </row>
        <row r="363">
          <cell r="D363" t="str">
            <v>Robinsons Tuguegarao</v>
          </cell>
          <cell r="F363" t="str">
            <v xml:space="preserve"> VueConcepts, Inc.</v>
          </cell>
        </row>
        <row r="364">
          <cell r="D364" t="str">
            <v>Robinsons Place Jaro</v>
          </cell>
          <cell r="F364" t="str">
            <v xml:space="preserve"> VueConcepts, Inc.</v>
          </cell>
        </row>
        <row r="365">
          <cell r="D365" t="str">
            <v>Cloverleaf Premier</v>
          </cell>
          <cell r="F365" t="str">
            <v xml:space="preserve"> VueConcepts, Inc.</v>
          </cell>
        </row>
        <row r="366">
          <cell r="D366" t="str">
            <v>Solideo Square, Inc.</v>
          </cell>
          <cell r="F366" t="str">
            <v xml:space="preserve"> Solidero Square, Inc.</v>
          </cell>
        </row>
        <row r="367">
          <cell r="D367" t="str">
            <v>Robinsons Place Santiago</v>
          </cell>
          <cell r="F367" t="str">
            <v xml:space="preserve"> VueConcepts, Inc.</v>
          </cell>
        </row>
        <row r="368">
          <cell r="D368" t="str">
            <v>Ok Bazaar</v>
          </cell>
          <cell r="F368" t="str">
            <v xml:space="preserve"> VueConcepts, Inc.</v>
          </cell>
        </row>
        <row r="369">
          <cell r="D369" t="str">
            <v>Trendlinks Inc</v>
          </cell>
          <cell r="F369" t="str">
            <v xml:space="preserve"> Trendlinks Inc</v>
          </cell>
        </row>
        <row r="370">
          <cell r="D370" t="str">
            <v>VueConcepts, Inc.</v>
          </cell>
          <cell r="F370" t="str">
            <v xml:space="preserve"> VueConcepts, Inc.</v>
          </cell>
        </row>
        <row r="371">
          <cell r="D371" t="str">
            <v>Gaisano Grand Mactan</v>
          </cell>
          <cell r="F371" t="str">
            <v xml:space="preserve"> Vision Lane Corp.</v>
          </cell>
        </row>
        <row r="372">
          <cell r="D372" t="str">
            <v>Mall Of Alnor</v>
          </cell>
          <cell r="F372" t="str">
            <v xml:space="preserve"> Vision Lane Corp.</v>
          </cell>
        </row>
        <row r="373">
          <cell r="D373" t="str">
            <v>Mall Of Ace Centerpoint</v>
          </cell>
          <cell r="F373" t="str">
            <v xml:space="preserve"> Vision Lane Corp.</v>
          </cell>
        </row>
        <row r="374">
          <cell r="D374" t="str">
            <v>Wikiwiz, Inc.</v>
          </cell>
          <cell r="F374" t="str">
            <v xml:space="preserve"> Wikiwiz Inc.</v>
          </cell>
        </row>
        <row r="375">
          <cell r="D375" t="str">
            <v>Willowcreek, Inc.</v>
          </cell>
          <cell r="F375" t="str">
            <v xml:space="preserve"> Willowcreek, Inc.</v>
          </cell>
        </row>
        <row r="376">
          <cell r="D376" t="str">
            <v>City Mall Aparri</v>
          </cell>
          <cell r="F376" t="str">
            <v xml:space="preserve"> Vision Lane Corp.</v>
          </cell>
        </row>
        <row r="377">
          <cell r="D377" t="str">
            <v>Gaisano Capital San Carlos</v>
          </cell>
          <cell r="F377" t="str">
            <v xml:space="preserve"> Vision Lane Corp.</v>
          </cell>
        </row>
        <row r="378">
          <cell r="D378" t="str">
            <v>Double Dragon Plaza</v>
          </cell>
          <cell r="F378" t="str">
            <v xml:space="preserve"> Vision Lane Corp.</v>
          </cell>
        </row>
        <row r="379">
          <cell r="D379" t="str">
            <v>Gaisano Central Tacloban</v>
          </cell>
          <cell r="F379" t="str">
            <v xml:space="preserve"> Vision Lane Corp.</v>
          </cell>
        </row>
        <row r="380">
          <cell r="D380" t="str">
            <v>Gaisano Capital Danao</v>
          </cell>
          <cell r="F380" t="str">
            <v xml:space="preserve"> Vision Lane Corp.</v>
          </cell>
        </row>
        <row r="381">
          <cell r="D381" t="str">
            <v>Eastwood Kids and Up</v>
          </cell>
          <cell r="F381" t="str">
            <v xml:space="preserve"> Vision Lane Corp.</v>
          </cell>
        </row>
        <row r="382">
          <cell r="D382" t="str">
            <v>Kai Mall</v>
          </cell>
          <cell r="F382" t="str">
            <v xml:space="preserve"> Vision Lane Corp.</v>
          </cell>
        </row>
        <row r="383">
          <cell r="D383" t="str">
            <v>Festive Walk Mall</v>
          </cell>
          <cell r="F383" t="str">
            <v xml:space="preserve"> Vision Lane Corp.</v>
          </cell>
        </row>
        <row r="384">
          <cell r="D384" t="str">
            <v>Eastwood Cyber Mall</v>
          </cell>
          <cell r="F384" t="str">
            <v xml:space="preserve"> Vision Lane Corp.</v>
          </cell>
        </row>
        <row r="385">
          <cell r="D385" t="str">
            <v>SM City Bataan</v>
          </cell>
          <cell r="F385" t="str">
            <v xml:space="preserve"> Vision Lane Corp.</v>
          </cell>
        </row>
        <row r="386">
          <cell r="D386" t="str">
            <v>SM Center San Pedro</v>
          </cell>
          <cell r="F386" t="str">
            <v xml:space="preserve"> Vision Lane Corp.</v>
          </cell>
        </row>
        <row r="387">
          <cell r="D387" t="str">
            <v>City Mall Dumaguete</v>
          </cell>
          <cell r="F387" t="str">
            <v xml:space="preserve"> Vision Lane Corp.</v>
          </cell>
        </row>
        <row r="388">
          <cell r="D388" t="str">
            <v>NCCC Mall Palawan</v>
          </cell>
          <cell r="F388" t="str">
            <v xml:space="preserve"> Vision Lane Corp.</v>
          </cell>
        </row>
        <row r="389">
          <cell r="D389" t="str">
            <v>Marina Town Dumaguete</v>
          </cell>
          <cell r="F389" t="str">
            <v xml:space="preserve"> Vision Lane Corp.</v>
          </cell>
        </row>
        <row r="390">
          <cell r="D390" t="str">
            <v>Evia Lifestyle Center Kids &amp; Up</v>
          </cell>
          <cell r="F390" t="str">
            <v xml:space="preserve"> Vision Lane Corp.</v>
          </cell>
        </row>
        <row r="391">
          <cell r="D391" t="str">
            <v>Vision Lane Corp.</v>
          </cell>
          <cell r="F391" t="str">
            <v xml:space="preserve"> Vision Lane Corp.</v>
          </cell>
        </row>
        <row r="392">
          <cell r="D392" t="str">
            <v>Visiotech Lab., Inc.</v>
          </cell>
          <cell r="F392" t="str">
            <v xml:space="preserve"> Visiotech Lab. Inc.</v>
          </cell>
        </row>
        <row r="393">
          <cell r="D393" t="str">
            <v>Lab Office</v>
          </cell>
          <cell r="F393" t="str">
            <v xml:space="preserve"> Visiotech Lab. Inc.</v>
          </cell>
        </row>
        <row r="396">
          <cell r="D396" t="str">
            <v>Robinsons Metro East Kids &amp; Up</v>
          </cell>
          <cell r="F396" t="str">
            <v>Vue Circle Corp.</v>
          </cell>
        </row>
        <row r="397">
          <cell r="D397" t="str">
            <v>One Novamall Plaza</v>
          </cell>
          <cell r="F397" t="str">
            <v>Fun Optics, Inc.</v>
          </cell>
        </row>
        <row r="398">
          <cell r="D398" t="str">
            <v>SM Supermarket Fairview</v>
          </cell>
          <cell r="F398" t="str">
            <v>Executive Optical, Inc.</v>
          </cell>
        </row>
        <row r="399">
          <cell r="D399" t="str">
            <v>SM Supermarket Batangas</v>
          </cell>
          <cell r="F399" t="str">
            <v>Executive Optical, Inc.</v>
          </cell>
        </row>
        <row r="400">
          <cell r="D400" t="str">
            <v>Gaisano Catarman</v>
          </cell>
          <cell r="F400" t="str">
            <v>Indigo Visions, Inc.</v>
          </cell>
        </row>
        <row r="401">
          <cell r="D401" t="str">
            <v>Deca Mall Tondo</v>
          </cell>
          <cell r="F401" t="str">
            <v>Specs Plus, Inc.</v>
          </cell>
        </row>
        <row r="402">
          <cell r="D402" t="str">
            <v>SM Supermarket Calamba</v>
          </cell>
          <cell r="F402" t="str">
            <v>Occhialli, Inc.</v>
          </cell>
        </row>
        <row r="403">
          <cell r="D403" t="str">
            <v>Gaisano Grand Mall Digos</v>
          </cell>
          <cell r="F403" t="str">
            <v>Spectacle Trolley Corp.</v>
          </cell>
        </row>
        <row r="404">
          <cell r="D404" t="str">
            <v>SM Supermarket Deparo</v>
          </cell>
          <cell r="F404" t="str">
            <v>Legato Visions, Inc.</v>
          </cell>
        </row>
        <row r="406">
          <cell r="D406" t="str">
            <v>Gaisano CITI Supermall Iligan</v>
          </cell>
          <cell r="F406" t="str">
            <v>Purple Specs, Inc.</v>
          </cell>
        </row>
        <row r="407">
          <cell r="D407" t="str">
            <v>Victory Town Center SJDM</v>
          </cell>
          <cell r="F407" t="str">
            <v>Sight Testers, Inc.</v>
          </cell>
        </row>
        <row r="408">
          <cell r="D408" t="str">
            <v>Waltermart Arayat</v>
          </cell>
          <cell r="F408" t="str">
            <v>Sight Testers, Inc.</v>
          </cell>
        </row>
        <row r="409">
          <cell r="D409" t="str">
            <v>Gaisano Mall Butuan</v>
          </cell>
          <cell r="F409" t="str">
            <v>Fun Optics, Inc.</v>
          </cell>
        </row>
        <row r="410">
          <cell r="D410" t="str">
            <v>Robinsons Pagadian</v>
          </cell>
          <cell r="F410" t="str">
            <v>Megane Specs Corp.</v>
          </cell>
        </row>
        <row r="412">
          <cell r="D412" t="str">
            <v>SM Hypermarket Baliwag</v>
          </cell>
          <cell r="F412" t="str">
            <v xml:space="preserve"> Basic Brands Phils., Inc.</v>
          </cell>
        </row>
        <row r="413">
          <cell r="D413" t="str">
            <v>Gaisano Grand Mall Maasin</v>
          </cell>
          <cell r="F413" t="str">
            <v xml:space="preserve"> Specs Plus, Inc.</v>
          </cell>
        </row>
        <row r="414">
          <cell r="D414" t="str">
            <v>Robinsons Magnolia</v>
          </cell>
          <cell r="F414" t="str">
            <v>Occhialera Filipinas, Inc.</v>
          </cell>
        </row>
        <row r="415">
          <cell r="D415" t="str">
            <v>SM City Caloocan</v>
          </cell>
          <cell r="F415" t="str">
            <v>Legato Visions, Inc.</v>
          </cell>
        </row>
        <row r="417">
          <cell r="D417" t="str">
            <v>Victory Park and Shop Antipolo</v>
          </cell>
          <cell r="F417" t="str">
            <v>Purple Specs, Inc.</v>
          </cell>
        </row>
        <row r="418">
          <cell r="D418" t="str">
            <v>SM Seaside City Cebu Kids and Up</v>
          </cell>
          <cell r="F418" t="str">
            <v>Occhialli, Inc.</v>
          </cell>
        </row>
        <row r="419">
          <cell r="D419" t="str">
            <v>tation</v>
          </cell>
          <cell r="F419" t="str">
            <v>Executive Optical, Inc.</v>
          </cell>
        </row>
        <row r="420">
          <cell r="D420" t="str">
            <v>Design</v>
          </cell>
          <cell r="F420" t="str">
            <v>Executive Optical, Inc.</v>
          </cell>
        </row>
        <row r="422">
          <cell r="D422" t="str">
            <v>City Mall Antique</v>
          </cell>
          <cell r="F422" t="str">
            <v xml:space="preserve"> Spectacle Trolley Corp.</v>
          </cell>
        </row>
        <row r="423">
          <cell r="D423" t="str">
            <v>Nomo Mall</v>
          </cell>
          <cell r="F423" t="str">
            <v xml:space="preserve"> Legato Visions, Inc.</v>
          </cell>
        </row>
        <row r="424">
          <cell r="D424" t="str">
            <v>Ayala Mall Vermosa</v>
          </cell>
          <cell r="F424" t="str">
            <v xml:space="preserve"> VueConcepts, Inc.</v>
          </cell>
        </row>
        <row r="425">
          <cell r="D425" t="str">
            <v>SM Supermarket Tarlac</v>
          </cell>
          <cell r="F425" t="str">
            <v xml:space="preserve"> Basic Brands Phils., Inc.</v>
          </cell>
        </row>
        <row r="426">
          <cell r="D426" t="str">
            <v>City Mall Kabankalan</v>
          </cell>
          <cell r="F426" t="str">
            <v xml:space="preserve"> Vision Lane Corp.</v>
          </cell>
        </row>
        <row r="427">
          <cell r="D427" t="str">
            <v>Waltermart Naic</v>
          </cell>
          <cell r="F427" t="str">
            <v>Purple Specs, Inc.</v>
          </cell>
        </row>
        <row r="429">
          <cell r="D429" t="str">
            <v>Gaisano Grand Oslob</v>
          </cell>
          <cell r="F429" t="str">
            <v>Purple Specs, Inc.</v>
          </cell>
        </row>
        <row r="430">
          <cell r="D430" t="str">
            <v>KCC MALL of Cotabato</v>
          </cell>
          <cell r="F430" t="str">
            <v xml:space="preserve"> Fun Optics, Inc.</v>
          </cell>
        </row>
        <row r="431">
          <cell r="D431" t="str">
            <v>Gaisano Mall Davao Kids and Up</v>
          </cell>
          <cell r="F431" t="str">
            <v>Occhialli, Inc.</v>
          </cell>
        </row>
        <row r="432">
          <cell r="D432" t="str">
            <v>SM City Laoag</v>
          </cell>
          <cell r="F432" t="str">
            <v xml:space="preserve"> Specs Plus, Inc.</v>
          </cell>
        </row>
        <row r="433">
          <cell r="D433" t="str">
            <v>SM La Union</v>
          </cell>
          <cell r="F433" t="str">
            <v xml:space="preserve"> Specs Plus, Inc.</v>
          </cell>
        </row>
        <row r="434">
          <cell r="D434" t="str">
            <v>Waltermart Silang</v>
          </cell>
          <cell r="F434" t="str">
            <v xml:space="preserve"> Specs Plus, Inc.</v>
          </cell>
        </row>
        <row r="435">
          <cell r="D435" t="str">
            <v>Waltermart Mabalacat</v>
          </cell>
          <cell r="F435" t="str">
            <v xml:space="preserve"> Specs Plus, Inc.</v>
          </cell>
        </row>
        <row r="436">
          <cell r="D436" t="str">
            <v>Gaisano Grand City Gate Mall</v>
          </cell>
          <cell r="F436" t="str">
            <v>Occhialli, Inc.</v>
          </cell>
        </row>
        <row r="438">
          <cell r="D438" t="str">
            <v>Gaisano Grand Mall Kalibo</v>
          </cell>
          <cell r="F438" t="str">
            <v xml:space="preserve"> Fun Optics, Inc.</v>
          </cell>
        </row>
        <row r="439">
          <cell r="D439" t="str">
            <v>Xentro Mall Montalban</v>
          </cell>
          <cell r="F439" t="str">
            <v>Occhialli, Inc.</v>
          </cell>
        </row>
        <row r="440">
          <cell r="D440" t="str">
            <v>SM City Jmall</v>
          </cell>
          <cell r="F440" t="str">
            <v xml:space="preserve"> Specs Plus, Inc.</v>
          </cell>
        </row>
        <row r="441">
          <cell r="D441" t="str">
            <v>Metro Catbalogan</v>
          </cell>
          <cell r="F441" t="str">
            <v>Indigo Visions, Inc.</v>
          </cell>
        </row>
        <row r="443">
          <cell r="D443" t="str">
            <v>Ayala North Exchange</v>
          </cell>
          <cell r="F443" t="str">
            <v>VueConcepts, Inc.</v>
          </cell>
        </row>
        <row r="444">
          <cell r="D444" t="str">
            <v>Magic Mall San Carlos</v>
          </cell>
          <cell r="F444" t="str">
            <v>Sight Testers, Inc.</v>
          </cell>
        </row>
        <row r="446">
          <cell r="D446" t="str">
            <v>SM Center Congressional</v>
          </cell>
          <cell r="F446" t="str">
            <v>Maple Hope, Inc.</v>
          </cell>
        </row>
        <row r="447">
          <cell r="D447" t="str">
            <v>Gmall Toril</v>
          </cell>
          <cell r="F447" t="str">
            <v>Occhialli, Inc.</v>
          </cell>
        </row>
        <row r="448">
          <cell r="D448" t="str">
            <v>Gmall Digos Kids &amp; Up</v>
          </cell>
          <cell r="F448" t="str">
            <v>Spectacle Trolley Corp.</v>
          </cell>
        </row>
        <row r="449">
          <cell r="D449" t="str">
            <v>Waltermart Sta. Maria Kids &amp; Up</v>
          </cell>
          <cell r="F449" t="str">
            <v>Specs Plus, Inc.</v>
          </cell>
        </row>
        <row r="450">
          <cell r="D450" t="str">
            <v>BQ Mall</v>
          </cell>
          <cell r="F450" t="str">
            <v>Executive Optical, Inc.</v>
          </cell>
        </row>
        <row r="451">
          <cell r="D451" t="str">
            <v>SM Cebu Kids &amp; Up</v>
          </cell>
          <cell r="F451" t="str">
            <v>Executive Optical, Inc.</v>
          </cell>
        </row>
        <row r="452">
          <cell r="D452" t="str">
            <v>The Outlet Lipa</v>
          </cell>
          <cell r="F452" t="str">
            <v>Purple Specs, Inc.</v>
          </cell>
        </row>
        <row r="454">
          <cell r="D454" t="str">
            <v>Gaisano Grand Mall Antique</v>
          </cell>
          <cell r="F454" t="str">
            <v>Spectacle Trolley Corp.</v>
          </cell>
        </row>
        <row r="455">
          <cell r="D455" t="str">
            <v>SM Center Antipolo Downtown Kids &amp; Up</v>
          </cell>
          <cell r="F455" t="str">
            <v>Purple Specs, Inc.</v>
          </cell>
        </row>
        <row r="456">
          <cell r="D456" t="str">
            <v>Gaisano Capital Janiuay</v>
          </cell>
          <cell r="F456" t="str">
            <v xml:space="preserve"> Fun Optics, Inc.</v>
          </cell>
        </row>
        <row r="458">
          <cell r="D458" t="str">
            <v>AP Caticlan</v>
          </cell>
          <cell r="F458" t="str">
            <v>Occhialera Filipinas, Inc.</v>
          </cell>
        </row>
        <row r="459">
          <cell r="D459" t="str">
            <v>DS Landmark Manila Bay</v>
          </cell>
          <cell r="F459" t="str">
            <v>Occhialera Filipinas, Inc.</v>
          </cell>
        </row>
        <row r="461">
          <cell r="D461" t="str">
            <v>Gaisano Cebu</v>
          </cell>
          <cell r="F461" t="str">
            <v>Fun Optics, Inc.</v>
          </cell>
        </row>
        <row r="462">
          <cell r="D462" t="str">
            <v>Festival Mall EO Kids &amp; Up</v>
          </cell>
          <cell r="F462" t="str">
            <v>Executive Optical, Inc.</v>
          </cell>
        </row>
        <row r="463">
          <cell r="D463" t="str">
            <v>Waltermart San Fernando Kids &amp; Up</v>
          </cell>
          <cell r="F463" t="str">
            <v>Occhialli, Inc.</v>
          </cell>
        </row>
        <row r="464">
          <cell r="D464" t="str">
            <v>Gaisano Mall Toril Tempo</v>
          </cell>
          <cell r="F464" t="str">
            <v>Occhialli, Inc.</v>
          </cell>
        </row>
      </sheetData>
      <sheetData sheetId="3">
        <row r="1">
          <cell r="A1" t="str">
            <v>WAGE PER REGION</v>
          </cell>
        </row>
        <row r="2">
          <cell r="A2" t="str">
            <v>ALLOWANCE</v>
          </cell>
        </row>
        <row r="3">
          <cell r="A3" t="str">
            <v>REGION</v>
          </cell>
          <cell r="B3" t="str">
            <v>EO Allowance</v>
          </cell>
        </row>
        <row r="4">
          <cell r="A4" t="str">
            <v>NCR</v>
          </cell>
          <cell r="B4">
            <v>50</v>
          </cell>
        </row>
        <row r="5">
          <cell r="A5" t="str">
            <v>CAR</v>
          </cell>
          <cell r="B5">
            <v>175</v>
          </cell>
        </row>
        <row r="6">
          <cell r="A6">
            <v>1</v>
          </cell>
          <cell r="B6">
            <v>177</v>
          </cell>
        </row>
        <row r="7">
          <cell r="A7">
            <v>2</v>
          </cell>
          <cell r="B7">
            <v>165</v>
          </cell>
        </row>
        <row r="8">
          <cell r="A8">
            <v>3</v>
          </cell>
          <cell r="B8">
            <v>120</v>
          </cell>
        </row>
        <row r="9">
          <cell r="A9" t="str">
            <v>4A1</v>
          </cell>
          <cell r="B9">
            <v>85</v>
          </cell>
        </row>
        <row r="10">
          <cell r="A10" t="str">
            <v>4A2</v>
          </cell>
          <cell r="B10">
            <v>125</v>
          </cell>
        </row>
        <row r="11">
          <cell r="A11" t="str">
            <v>4A3</v>
          </cell>
          <cell r="B11">
            <v>225</v>
          </cell>
        </row>
        <row r="12">
          <cell r="A12" t="str">
            <v>4B</v>
          </cell>
          <cell r="B12">
            <v>215</v>
          </cell>
        </row>
        <row r="13">
          <cell r="A13">
            <v>5</v>
          </cell>
          <cell r="B13">
            <v>216</v>
          </cell>
        </row>
        <row r="14">
          <cell r="A14">
            <v>6</v>
          </cell>
          <cell r="B14">
            <v>132</v>
          </cell>
        </row>
        <row r="15">
          <cell r="A15" t="str">
            <v>7A</v>
          </cell>
          <cell r="B15">
            <v>144</v>
          </cell>
        </row>
        <row r="16">
          <cell r="A16" t="str">
            <v>7B</v>
          </cell>
          <cell r="B16">
            <v>182</v>
          </cell>
        </row>
        <row r="17">
          <cell r="A17">
            <v>8</v>
          </cell>
          <cell r="B17">
            <v>225</v>
          </cell>
        </row>
        <row r="18">
          <cell r="A18">
            <v>9</v>
          </cell>
          <cell r="B18">
            <v>231</v>
          </cell>
        </row>
        <row r="19">
          <cell r="A19">
            <v>10</v>
          </cell>
          <cell r="B19">
            <v>184</v>
          </cell>
        </row>
        <row r="20">
          <cell r="A20">
            <v>11</v>
          </cell>
          <cell r="B20">
            <v>164</v>
          </cell>
        </row>
        <row r="21">
          <cell r="A21">
            <v>12</v>
          </cell>
          <cell r="B21">
            <v>215</v>
          </cell>
        </row>
        <row r="22">
          <cell r="A22">
            <v>13</v>
          </cell>
          <cell r="B22">
            <v>230</v>
          </cell>
        </row>
        <row r="23">
          <cell r="A23" t="str">
            <v>BARMM 1</v>
          </cell>
          <cell r="B23">
            <v>309</v>
          </cell>
        </row>
        <row r="24">
          <cell r="A24" t="str">
            <v>bARMM 2</v>
          </cell>
          <cell r="B24">
            <v>284</v>
          </cell>
        </row>
      </sheetData>
      <sheetData sheetId="4">
        <row r="1">
          <cell r="B1" t="str">
            <v>REGION</v>
          </cell>
          <cell r="C1" t="str">
            <v>SALARY</v>
          </cell>
        </row>
        <row r="2">
          <cell r="A2" t="str">
            <v>SM Center Dagupan</v>
          </cell>
          <cell r="B2">
            <v>1</v>
          </cell>
          <cell r="C2">
            <v>572.93076923076933</v>
          </cell>
        </row>
        <row r="3">
          <cell r="A3" t="str">
            <v>Robinsons Place La Union</v>
          </cell>
          <cell r="B3">
            <v>1</v>
          </cell>
          <cell r="C3">
            <v>572.93076923076933</v>
          </cell>
        </row>
        <row r="4">
          <cell r="A4" t="str">
            <v>SM Baguio</v>
          </cell>
          <cell r="B4">
            <v>1</v>
          </cell>
          <cell r="C4">
            <v>572.93076923076933</v>
          </cell>
        </row>
        <row r="5">
          <cell r="A5" t="str">
            <v>SM Center Pulilan</v>
          </cell>
          <cell r="B5">
            <v>3</v>
          </cell>
          <cell r="C5">
            <v>641.875</v>
          </cell>
        </row>
        <row r="6">
          <cell r="A6" t="str">
            <v>SM City Olongapo</v>
          </cell>
          <cell r="B6">
            <v>3</v>
          </cell>
          <cell r="C6">
            <v>641.875</v>
          </cell>
        </row>
        <row r="7">
          <cell r="A7" t="str">
            <v>Waltermart Malolos</v>
          </cell>
          <cell r="B7">
            <v>3</v>
          </cell>
          <cell r="C7">
            <v>641.875</v>
          </cell>
        </row>
        <row r="8">
          <cell r="A8" t="str">
            <v>SM Supermarket Olongapo</v>
          </cell>
          <cell r="B8">
            <v>3</v>
          </cell>
          <cell r="C8">
            <v>641.875</v>
          </cell>
        </row>
        <row r="9">
          <cell r="A9" t="str">
            <v>Robinson Angeles</v>
          </cell>
          <cell r="B9">
            <v>3</v>
          </cell>
          <cell r="C9">
            <v>641.875</v>
          </cell>
        </row>
        <row r="10">
          <cell r="A10" t="str">
            <v>SM City Telabastagan</v>
          </cell>
          <cell r="B10">
            <v>3</v>
          </cell>
          <cell r="C10">
            <v>641.875</v>
          </cell>
        </row>
        <row r="11">
          <cell r="A11" t="str">
            <v>SM Megacenter Cabanatuan</v>
          </cell>
          <cell r="B11">
            <v>3</v>
          </cell>
          <cell r="C11">
            <v>641.875</v>
          </cell>
        </row>
        <row r="12">
          <cell r="A12" t="str">
            <v>SM City Cabanatuan</v>
          </cell>
          <cell r="B12">
            <v>3</v>
          </cell>
          <cell r="C12">
            <v>641.875</v>
          </cell>
        </row>
        <row r="13">
          <cell r="A13" t="str">
            <v>SM City Daet</v>
          </cell>
          <cell r="B13">
            <v>5</v>
          </cell>
          <cell r="C13">
            <v>525.85961538461538</v>
          </cell>
        </row>
        <row r="14">
          <cell r="A14" t="str">
            <v>SM City Daet</v>
          </cell>
          <cell r="B14">
            <v>5</v>
          </cell>
          <cell r="C14">
            <v>525.86</v>
          </cell>
        </row>
        <row r="15">
          <cell r="A15" t="str">
            <v>RPI Iloilo</v>
          </cell>
          <cell r="B15">
            <v>6</v>
          </cell>
          <cell r="C15">
            <v>628.57500000000005</v>
          </cell>
        </row>
        <row r="16">
          <cell r="A16" t="str">
            <v>Gaisano Capital Kalibo</v>
          </cell>
          <cell r="B16">
            <v>6</v>
          </cell>
          <cell r="C16">
            <v>628.57500000000005</v>
          </cell>
        </row>
        <row r="17">
          <cell r="A17" t="str">
            <v>SM City Roxas</v>
          </cell>
          <cell r="B17">
            <v>6</v>
          </cell>
          <cell r="C17">
            <v>628.57500000000005</v>
          </cell>
        </row>
        <row r="18">
          <cell r="A18" t="str">
            <v>City Mall Boracay</v>
          </cell>
          <cell r="B18">
            <v>6</v>
          </cell>
          <cell r="C18">
            <v>628.57500000000005</v>
          </cell>
        </row>
        <row r="19">
          <cell r="A19" t="str">
            <v>SM Cagayan de Oro</v>
          </cell>
          <cell r="B19">
            <v>10</v>
          </cell>
          <cell r="C19">
            <v>565.17243589743589</v>
          </cell>
        </row>
        <row r="20">
          <cell r="A20" t="str">
            <v>Centrio Mall</v>
          </cell>
          <cell r="B20">
            <v>10</v>
          </cell>
          <cell r="C20">
            <v>565.17243589743589</v>
          </cell>
        </row>
        <row r="21">
          <cell r="A21" t="str">
            <v>SM Davao</v>
          </cell>
          <cell r="B21">
            <v>11</v>
          </cell>
          <cell r="C21">
            <v>589.26217948717954</v>
          </cell>
        </row>
        <row r="22">
          <cell r="A22" t="str">
            <v>Gaisano Mall Tagum</v>
          </cell>
          <cell r="B22">
            <v>11</v>
          </cell>
          <cell r="C22">
            <v>589.26217948717954</v>
          </cell>
        </row>
        <row r="23">
          <cell r="A23" t="str">
            <v>Gaisano Grand Mall Digos</v>
          </cell>
          <cell r="B23">
            <v>11</v>
          </cell>
          <cell r="C23">
            <v>589.26217948717954</v>
          </cell>
        </row>
        <row r="24">
          <cell r="A24" t="str">
            <v>SM GenSan</v>
          </cell>
          <cell r="B24">
            <v>12</v>
          </cell>
          <cell r="C24">
            <v>526.96794871794873</v>
          </cell>
        </row>
        <row r="25">
          <cell r="A25" t="str">
            <v>SM Center San Pedro</v>
          </cell>
          <cell r="B25" t="str">
            <v>4A1</v>
          </cell>
          <cell r="C25">
            <v>684.51282051282044</v>
          </cell>
        </row>
        <row r="26">
          <cell r="A26" t="str">
            <v>SM Center Imus</v>
          </cell>
          <cell r="B26" t="str">
            <v>4A1</v>
          </cell>
          <cell r="C26">
            <v>684.51282051282044</v>
          </cell>
        </row>
        <row r="27">
          <cell r="A27" t="str">
            <v>SM Molino</v>
          </cell>
          <cell r="B27" t="str">
            <v>4A1</v>
          </cell>
          <cell r="C27">
            <v>684.51282051282044</v>
          </cell>
        </row>
        <row r="28">
          <cell r="A28" t="str">
            <v>Robinsons PLace Dasmarinas</v>
          </cell>
          <cell r="B28" t="str">
            <v>4A1</v>
          </cell>
          <cell r="C28">
            <v>684.51282051282044</v>
          </cell>
        </row>
        <row r="29">
          <cell r="A29" t="str">
            <v>Waltermart Dasmarinas</v>
          </cell>
          <cell r="B29" t="str">
            <v>4A1</v>
          </cell>
          <cell r="C29">
            <v>684.51282051282044</v>
          </cell>
        </row>
        <row r="30">
          <cell r="A30" t="str">
            <v>SM Dasmariñas</v>
          </cell>
          <cell r="B30" t="str">
            <v>4A1</v>
          </cell>
          <cell r="C30">
            <v>684.51282051282044</v>
          </cell>
        </row>
        <row r="31">
          <cell r="A31" t="str">
            <v>SM Bacoor</v>
          </cell>
          <cell r="B31" t="str">
            <v>4A1</v>
          </cell>
          <cell r="C31">
            <v>684.51282051282044</v>
          </cell>
        </row>
        <row r="32">
          <cell r="A32" t="str">
            <v>SM Dasmarinas</v>
          </cell>
          <cell r="B32" t="str">
            <v>4A1</v>
          </cell>
          <cell r="C32">
            <v>684.51282051282044</v>
          </cell>
        </row>
        <row r="33">
          <cell r="A33" t="str">
            <v>SM Dasmarinas Supermarket</v>
          </cell>
          <cell r="B33" t="str">
            <v>4A1</v>
          </cell>
          <cell r="C33">
            <v>684.51282051282044</v>
          </cell>
        </row>
        <row r="34">
          <cell r="A34" t="str">
            <v>Sta Rosa</v>
          </cell>
          <cell r="B34" t="str">
            <v>4A2</v>
          </cell>
          <cell r="C34">
            <v>636.33333333333337</v>
          </cell>
        </row>
        <row r="35">
          <cell r="A35" t="str">
            <v>Robinsons General Trias</v>
          </cell>
          <cell r="B35" t="str">
            <v>4A2</v>
          </cell>
          <cell r="C35">
            <v>636.33333333333337</v>
          </cell>
        </row>
        <row r="36">
          <cell r="A36" t="str">
            <v>Vista Mall Sta. Rosa</v>
          </cell>
          <cell r="B36" t="str">
            <v>4A2</v>
          </cell>
          <cell r="C36">
            <v>636.33333333333337</v>
          </cell>
        </row>
        <row r="37">
          <cell r="A37" t="str">
            <v>Waltermart Naic</v>
          </cell>
          <cell r="B37" t="str">
            <v>4A2</v>
          </cell>
          <cell r="C37">
            <v>636.33333333333337</v>
          </cell>
        </row>
        <row r="38">
          <cell r="A38" t="str">
            <v>Waltermart Silang</v>
          </cell>
          <cell r="B38" t="str">
            <v>4A1</v>
          </cell>
          <cell r="C38">
            <v>684.51282051282044</v>
          </cell>
        </row>
        <row r="39">
          <cell r="A39" t="str">
            <v>SM City Trece Martires</v>
          </cell>
          <cell r="B39" t="str">
            <v>4A2</v>
          </cell>
          <cell r="C39">
            <v>636.33333333333337</v>
          </cell>
        </row>
        <row r="40">
          <cell r="A40" t="str">
            <v>SM Batangas</v>
          </cell>
          <cell r="B40" t="str">
            <v>4A2</v>
          </cell>
          <cell r="C40">
            <v>636.33333333333337</v>
          </cell>
        </row>
        <row r="41">
          <cell r="A41" t="str">
            <v>Balagtas Town Center</v>
          </cell>
          <cell r="B41" t="str">
            <v>4A2</v>
          </cell>
          <cell r="C41">
            <v>636.33333333333337</v>
          </cell>
        </row>
        <row r="42">
          <cell r="A42" t="str">
            <v>SM Lipa</v>
          </cell>
          <cell r="B42" t="str">
            <v>4A2</v>
          </cell>
          <cell r="C42">
            <v>636.33333333333337</v>
          </cell>
        </row>
        <row r="43">
          <cell r="A43" t="str">
            <v>SM City Tanza</v>
          </cell>
          <cell r="B43" t="str">
            <v>4A2</v>
          </cell>
          <cell r="C43">
            <v>636.33333333333337</v>
          </cell>
        </row>
        <row r="44">
          <cell r="A44" t="str">
            <v>SM Center Lemery</v>
          </cell>
          <cell r="B44" t="str">
            <v>4A2</v>
          </cell>
          <cell r="C44">
            <v>636.33333333333337</v>
          </cell>
        </row>
        <row r="45">
          <cell r="A45" t="str">
            <v>SM City San Pablo</v>
          </cell>
          <cell r="B45" t="str">
            <v>4A2</v>
          </cell>
          <cell r="C45">
            <v>636.33333333333337</v>
          </cell>
        </row>
        <row r="46">
          <cell r="A46" t="str">
            <v>SM Cebu</v>
          </cell>
          <cell r="B46" t="str">
            <v>7A</v>
          </cell>
          <cell r="C46">
            <v>613.35192307692307</v>
          </cell>
        </row>
        <row r="47">
          <cell r="A47" t="str">
            <v>SM Naga</v>
          </cell>
          <cell r="B47">
            <v>5</v>
          </cell>
          <cell r="C47">
            <v>525.86</v>
          </cell>
        </row>
        <row r="48">
          <cell r="A48" t="str">
            <v>Island Central Mactan IT Complex</v>
          </cell>
          <cell r="B48" t="str">
            <v>7A</v>
          </cell>
          <cell r="C48">
            <v>613.35192307692307</v>
          </cell>
        </row>
        <row r="49">
          <cell r="A49" t="str">
            <v>Robinsons Galleria Cebu</v>
          </cell>
          <cell r="B49" t="str">
            <v>7A</v>
          </cell>
          <cell r="C49">
            <v>613.35192307692307</v>
          </cell>
        </row>
        <row r="50">
          <cell r="A50" t="str">
            <v>SM Seaside City Cebu</v>
          </cell>
          <cell r="B50" t="str">
            <v>7A</v>
          </cell>
          <cell r="C50">
            <v>613.35192307692307</v>
          </cell>
        </row>
        <row r="51">
          <cell r="A51" t="str">
            <v>SM Seaside City Cebu Kids and Up</v>
          </cell>
          <cell r="B51" t="str">
            <v>7A</v>
          </cell>
          <cell r="C51">
            <v>613.35192307692307</v>
          </cell>
        </row>
        <row r="52">
          <cell r="A52" t="str">
            <v>SM City Jmall</v>
          </cell>
          <cell r="B52" t="str">
            <v>7A</v>
          </cell>
          <cell r="C52">
            <v>613.35192307692307</v>
          </cell>
        </row>
        <row r="53">
          <cell r="A53" t="str">
            <v>Robinsons Place Dumaguete</v>
          </cell>
          <cell r="B53" t="str">
            <v>7B</v>
          </cell>
          <cell r="C53">
            <v>567.38910256410259</v>
          </cell>
        </row>
        <row r="54">
          <cell r="A54" t="str">
            <v>Market Market</v>
          </cell>
          <cell r="B54" t="str">
            <v>NCR</v>
          </cell>
          <cell r="C54">
            <v>789.10576923076928</v>
          </cell>
        </row>
        <row r="55">
          <cell r="A55" t="str">
            <v>SM Bicutan</v>
          </cell>
          <cell r="B55" t="str">
            <v>NCR</v>
          </cell>
          <cell r="C55">
            <v>789.10576923076928</v>
          </cell>
        </row>
        <row r="56">
          <cell r="A56" t="str">
            <v>SM Megamall</v>
          </cell>
          <cell r="B56" t="str">
            <v>NCR</v>
          </cell>
          <cell r="C56">
            <v>789.10576923076928</v>
          </cell>
        </row>
        <row r="57">
          <cell r="A57" t="str">
            <v>Festival Mall 2</v>
          </cell>
          <cell r="B57" t="str">
            <v>NCR</v>
          </cell>
          <cell r="C57">
            <v>789.10576923076928</v>
          </cell>
        </row>
        <row r="58">
          <cell r="A58" t="str">
            <v>Market Market</v>
          </cell>
          <cell r="B58" t="str">
            <v>NCR</v>
          </cell>
          <cell r="C58">
            <v>789.10576923076928</v>
          </cell>
        </row>
        <row r="59">
          <cell r="A59" t="str">
            <v>Vista Mall Taguig</v>
          </cell>
          <cell r="B59" t="str">
            <v>NCR</v>
          </cell>
          <cell r="C59">
            <v>789.10576923076928</v>
          </cell>
        </row>
        <row r="60">
          <cell r="A60" t="str">
            <v>Cedar Timog</v>
          </cell>
          <cell r="B60" t="str">
            <v>NCR</v>
          </cell>
          <cell r="C60">
            <v>789.10576923076928</v>
          </cell>
        </row>
        <row r="61">
          <cell r="A61" t="str">
            <v>Century City Mall</v>
          </cell>
          <cell r="B61" t="str">
            <v>NCR</v>
          </cell>
          <cell r="C61">
            <v>789.10576923076928</v>
          </cell>
        </row>
        <row r="62">
          <cell r="A62" t="str">
            <v>SM Center Angono</v>
          </cell>
          <cell r="B62" t="str">
            <v>NCR</v>
          </cell>
          <cell r="C62">
            <v>789.10576923076928</v>
          </cell>
        </row>
        <row r="63">
          <cell r="A63" t="str">
            <v>SM City Sta mesa</v>
          </cell>
          <cell r="B63" t="str">
            <v>NCR</v>
          </cell>
          <cell r="C63">
            <v>789.10576923076928</v>
          </cell>
        </row>
        <row r="64">
          <cell r="A64" t="str">
            <v>VIRRA MALL</v>
          </cell>
          <cell r="B64" t="str">
            <v>NCR</v>
          </cell>
          <cell r="C64">
            <v>789.10576923076928</v>
          </cell>
        </row>
        <row r="65">
          <cell r="A65" t="str">
            <v>SM Taytay</v>
          </cell>
          <cell r="B65" t="str">
            <v>NCR</v>
          </cell>
          <cell r="C65">
            <v>789.10576923076928</v>
          </cell>
        </row>
        <row r="66">
          <cell r="A66" t="str">
            <v>Estancia</v>
          </cell>
          <cell r="B66" t="str">
            <v>NCR</v>
          </cell>
          <cell r="C66">
            <v>789.10576923076928</v>
          </cell>
        </row>
        <row r="67">
          <cell r="A67" t="str">
            <v>SM EAST ORTIGAS</v>
          </cell>
          <cell r="B67" t="str">
            <v>NCR</v>
          </cell>
          <cell r="C67">
            <v>789.10576923076928</v>
          </cell>
        </row>
        <row r="68">
          <cell r="A68" t="str">
            <v>SM Megamall A Supermarket</v>
          </cell>
          <cell r="B68" t="str">
            <v>NCR</v>
          </cell>
          <cell r="C68">
            <v>789.10576923076928</v>
          </cell>
        </row>
        <row r="69">
          <cell r="A69" t="str">
            <v>Robinsons Place Manila EO Kids and Up</v>
          </cell>
          <cell r="B69" t="str">
            <v>NCR</v>
          </cell>
          <cell r="C69">
            <v>789.10576923076928</v>
          </cell>
        </row>
        <row r="70">
          <cell r="A70" t="str">
            <v>SM City Taytay Active Eyewear</v>
          </cell>
          <cell r="B70" t="str">
            <v>NCR</v>
          </cell>
          <cell r="C70">
            <v>789.10576923076928</v>
          </cell>
        </row>
        <row r="71">
          <cell r="A71" t="str">
            <v>SM Aura Premier</v>
          </cell>
          <cell r="B71" t="str">
            <v>NCR</v>
          </cell>
          <cell r="C71">
            <v>789.10576923076928</v>
          </cell>
        </row>
        <row r="72">
          <cell r="A72" t="str">
            <v>SM City BF Parañaque</v>
          </cell>
          <cell r="B72" t="str">
            <v>NCR</v>
          </cell>
          <cell r="C72">
            <v>789.10576923076928</v>
          </cell>
        </row>
        <row r="73">
          <cell r="A73" t="str">
            <v>Marikina Riverbanks Center</v>
          </cell>
          <cell r="B73" t="str">
            <v>NCR</v>
          </cell>
          <cell r="C73">
            <v>789.10576923076928</v>
          </cell>
        </row>
        <row r="74">
          <cell r="A74" t="str">
            <v>SM City Annex</v>
          </cell>
          <cell r="B74" t="str">
            <v>NCR</v>
          </cell>
          <cell r="C74">
            <v>789.10576923076928</v>
          </cell>
        </row>
        <row r="75">
          <cell r="A75" t="str">
            <v>SM City Grand Central</v>
          </cell>
          <cell r="B75" t="str">
            <v>NCR</v>
          </cell>
          <cell r="C75">
            <v>789.10576923076928</v>
          </cell>
        </row>
        <row r="76">
          <cell r="A76" t="str">
            <v>Robinsons Antipolo</v>
          </cell>
          <cell r="B76" t="str">
            <v>NCR</v>
          </cell>
          <cell r="C76">
            <v>789.10576923076928</v>
          </cell>
        </row>
        <row r="77">
          <cell r="A77" t="str">
            <v>Robinsons Galleria</v>
          </cell>
          <cell r="B77" t="str">
            <v>NCR</v>
          </cell>
          <cell r="C77">
            <v>789.10576923076928</v>
          </cell>
        </row>
        <row r="78">
          <cell r="A78" t="str">
            <v>Festival Mall Premier</v>
          </cell>
          <cell r="B78" t="str">
            <v>NCR</v>
          </cell>
          <cell r="C78">
            <v>789.10576923076928</v>
          </cell>
        </row>
        <row r="79">
          <cell r="A79" t="str">
            <v>Double Dragon Plaza</v>
          </cell>
          <cell r="B79" t="str">
            <v>NCR</v>
          </cell>
          <cell r="C79">
            <v>789.10576923076928</v>
          </cell>
        </row>
        <row r="80">
          <cell r="A80" t="str">
            <v>Treasury</v>
          </cell>
          <cell r="B80" t="str">
            <v>NCR</v>
          </cell>
          <cell r="C80">
            <v>789.10576923076928</v>
          </cell>
        </row>
        <row r="81">
          <cell r="A81" t="str">
            <v>warehouse</v>
          </cell>
          <cell r="B81" t="str">
            <v>NCR</v>
          </cell>
          <cell r="C81">
            <v>789.10576923076928</v>
          </cell>
        </row>
        <row r="82">
          <cell r="A82" t="str">
            <v>Corporate Accounts Department</v>
          </cell>
          <cell r="B82" t="str">
            <v>NCR</v>
          </cell>
          <cell r="C82">
            <v>789.10576923076928</v>
          </cell>
        </row>
        <row r="83">
          <cell r="A83" t="str">
            <v>Waltermart Sta Rosa Bel Air</v>
          </cell>
          <cell r="B83" t="str">
            <v>4A2</v>
          </cell>
          <cell r="C83">
            <v>636.33333333333337</v>
          </cell>
        </row>
        <row r="84">
          <cell r="A84" t="str">
            <v xml:space="preserve">City Mall Boracay </v>
          </cell>
          <cell r="B84">
            <v>6</v>
          </cell>
          <cell r="C84">
            <v>628.57500000000005</v>
          </cell>
        </row>
        <row r="85">
          <cell r="A85" t="str">
            <v>Festival</v>
          </cell>
          <cell r="B85" t="str">
            <v>NCR</v>
          </cell>
          <cell r="C85">
            <v>789.10576923076928</v>
          </cell>
        </row>
        <row r="86">
          <cell r="A86" t="str">
            <v>Robinsons Cainta</v>
          </cell>
          <cell r="B86" t="str">
            <v>NCR</v>
          </cell>
          <cell r="C86">
            <v>789.10576923076928</v>
          </cell>
        </row>
        <row r="87">
          <cell r="A87" t="str">
            <v>Robinsons Angeles</v>
          </cell>
          <cell r="B87">
            <v>3</v>
          </cell>
          <cell r="C87">
            <v>641.875</v>
          </cell>
        </row>
        <row r="88">
          <cell r="A88" t="str">
            <v>SM Sta. Rosa</v>
          </cell>
          <cell r="B88" t="str">
            <v>4A2</v>
          </cell>
          <cell r="C88">
            <v>636.33333333333337</v>
          </cell>
        </row>
        <row r="89">
          <cell r="A89" t="str">
            <v>DS Landmark Manila Bay</v>
          </cell>
          <cell r="B89" t="str">
            <v>NCR</v>
          </cell>
          <cell r="C89">
            <v>789.10576923076928</v>
          </cell>
        </row>
        <row r="90">
          <cell r="A90" t="str">
            <v>Ayala Vermosa</v>
          </cell>
          <cell r="B90" t="str">
            <v>4A1</v>
          </cell>
          <cell r="C90">
            <v>684.51282051282044</v>
          </cell>
        </row>
        <row r="91">
          <cell r="A91" t="str">
            <v>SM City Butuan</v>
          </cell>
          <cell r="B91">
            <v>13</v>
          </cell>
          <cell r="C91">
            <v>510.34294871794867</v>
          </cell>
        </row>
        <row r="92">
          <cell r="A92" t="str">
            <v>SM Dasmariñas Supermarket</v>
          </cell>
          <cell r="B92" t="str">
            <v>4A1</v>
          </cell>
          <cell r="C92">
            <v>684.51282051282044</v>
          </cell>
        </row>
        <row r="93">
          <cell r="A93" t="str">
            <v>SM Cagayan de Oro Uptown</v>
          </cell>
          <cell r="B93">
            <v>10</v>
          </cell>
          <cell r="C93">
            <v>565.17243589743589</v>
          </cell>
        </row>
        <row r="94">
          <cell r="A94" t="str">
            <v>SM Seaside Kids and Up</v>
          </cell>
          <cell r="B94" t="str">
            <v>7A</v>
          </cell>
          <cell r="C94">
            <v>613.35192307692307</v>
          </cell>
        </row>
        <row r="95">
          <cell r="A95" t="str">
            <v>Supply Chain</v>
          </cell>
          <cell r="B95" t="str">
            <v>NCR</v>
          </cell>
          <cell r="C95">
            <v>789.10576923076928</v>
          </cell>
        </row>
        <row r="96">
          <cell r="A96" t="str">
            <v>SM JMall</v>
          </cell>
          <cell r="B96" t="str">
            <v>7A</v>
          </cell>
          <cell r="C96">
            <v>613.35192307692307</v>
          </cell>
        </row>
        <row r="97">
          <cell r="A97" t="str">
            <v>Robinsons Place Dasmariñas</v>
          </cell>
          <cell r="B97" t="str">
            <v>4A1</v>
          </cell>
          <cell r="C97">
            <v>684.51282051282044</v>
          </cell>
        </row>
        <row r="98">
          <cell r="A98" t="str">
            <v>Gaisano Grand Mall Kalibo</v>
          </cell>
          <cell r="B98">
            <v>6</v>
          </cell>
          <cell r="C98">
            <v>628.57500000000005</v>
          </cell>
        </row>
        <row r="99">
          <cell r="A99" t="str">
            <v>Estancia Mall</v>
          </cell>
          <cell r="B99" t="str">
            <v>NCR</v>
          </cell>
          <cell r="C99">
            <v>789.10576923076928</v>
          </cell>
        </row>
        <row r="100">
          <cell r="A100" t="str">
            <v>Logistics Timog</v>
          </cell>
          <cell r="B100" t="str">
            <v>NCR</v>
          </cell>
          <cell r="C100">
            <v>789.10576923076928</v>
          </cell>
        </row>
        <row r="101">
          <cell r="A101" t="str">
            <v>Manna Mall</v>
          </cell>
          <cell r="B101">
            <v>1</v>
          </cell>
          <cell r="C101">
            <v>572.93076923076933</v>
          </cell>
        </row>
        <row r="102">
          <cell r="A102" t="str">
            <v>NE Cabanatuan</v>
          </cell>
          <cell r="B102">
            <v>3</v>
          </cell>
          <cell r="C102">
            <v>641.875</v>
          </cell>
        </row>
        <row r="103">
          <cell r="A103" t="str">
            <v>Venice Grand Canal</v>
          </cell>
          <cell r="B103" t="str">
            <v>NCR</v>
          </cell>
          <cell r="C103">
            <v>789.10576923076928</v>
          </cell>
        </row>
        <row r="104">
          <cell r="A104" t="str">
            <v>Waltermart Cabanatuan</v>
          </cell>
          <cell r="B104">
            <v>3</v>
          </cell>
          <cell r="C104">
            <v>641.875</v>
          </cell>
        </row>
        <row r="105">
          <cell r="A105" t="str">
            <v>Waltermart Batangas</v>
          </cell>
          <cell r="B105" t="str">
            <v>4A2</v>
          </cell>
          <cell r="C105">
            <v>636.33333333333337</v>
          </cell>
        </row>
        <row r="106">
          <cell r="A106" t="str">
            <v>Robinsons Place Sta. Rosa</v>
          </cell>
          <cell r="B106" t="str">
            <v>4A2</v>
          </cell>
          <cell r="C106">
            <v>636.33333333333337</v>
          </cell>
        </row>
        <row r="107">
          <cell r="A107" t="str">
            <v>Ayala Mall Vermosa</v>
          </cell>
          <cell r="B107" t="str">
            <v>4A1</v>
          </cell>
          <cell r="C107">
            <v>684.51282051282044</v>
          </cell>
        </row>
      </sheetData>
      <sheetData sheetId="5" refreshError="1"/>
      <sheetData sheetId="6">
        <row r="9">
          <cell r="C9">
            <v>30873.915171213943</v>
          </cell>
        </row>
        <row r="10">
          <cell r="C10">
            <v>0</v>
          </cell>
        </row>
        <row r="11">
          <cell r="C11">
            <v>3087.3915171213944</v>
          </cell>
        </row>
        <row r="12">
          <cell r="C12">
            <v>5769.76</v>
          </cell>
        </row>
        <row r="13">
          <cell r="C13">
            <v>0</v>
          </cell>
        </row>
        <row r="14">
          <cell r="C14">
            <v>0</v>
          </cell>
        </row>
        <row r="15">
          <cell r="C15">
            <v>0</v>
          </cell>
        </row>
        <row r="16">
          <cell r="C16">
            <v>0</v>
          </cell>
        </row>
        <row r="17">
          <cell r="C17">
            <v>39731.066688335341</v>
          </cell>
        </row>
        <row r="18">
          <cell r="C18">
            <v>4767.7280026002409</v>
          </cell>
        </row>
        <row r="19">
          <cell r="C19">
            <v>44498.794690935581</v>
          </cell>
        </row>
        <row r="20">
          <cell r="C20">
            <v>794.62133376670681</v>
          </cell>
        </row>
        <row r="21">
          <cell r="C21">
            <v>43704.173357168875</v>
          </cell>
        </row>
      </sheetData>
      <sheetData sheetId="7">
        <row r="8">
          <cell r="C8">
            <v>29497.743267560101</v>
          </cell>
        </row>
        <row r="9">
          <cell r="C9">
            <v>0</v>
          </cell>
        </row>
        <row r="10">
          <cell r="C10">
            <v>2949.7743267560104</v>
          </cell>
        </row>
        <row r="11">
          <cell r="C11">
            <v>1274.9375</v>
          </cell>
        </row>
        <row r="12">
          <cell r="C12">
            <v>0</v>
          </cell>
        </row>
        <row r="13">
          <cell r="C13">
            <v>0</v>
          </cell>
        </row>
        <row r="14">
          <cell r="C14">
            <v>0</v>
          </cell>
        </row>
        <row r="15">
          <cell r="C15">
            <v>0</v>
          </cell>
        </row>
        <row r="16">
          <cell r="C16">
            <v>33722.455094316116</v>
          </cell>
        </row>
        <row r="17">
          <cell r="C17">
            <v>4046.6946113179338</v>
          </cell>
        </row>
        <row r="18">
          <cell r="C18">
            <v>37769.149705634052</v>
          </cell>
        </row>
        <row r="19">
          <cell r="C19">
            <v>674.4491018863223</v>
          </cell>
        </row>
        <row r="20">
          <cell r="C20">
            <v>37094.700603747733</v>
          </cell>
        </row>
      </sheetData>
      <sheetData sheetId="8">
        <row r="23">
          <cell r="C23">
            <v>158026.09784211739</v>
          </cell>
        </row>
        <row r="24">
          <cell r="C24">
            <v>3142.73</v>
          </cell>
        </row>
        <row r="25">
          <cell r="C25">
            <v>16116.882784211741</v>
          </cell>
        </row>
        <row r="26">
          <cell r="C26">
            <v>23026.968999999997</v>
          </cell>
        </row>
        <row r="27">
          <cell r="C27">
            <v>1057.6500000000001</v>
          </cell>
        </row>
        <row r="28">
          <cell r="C28">
            <v>501.3261</v>
          </cell>
        </row>
        <row r="29">
          <cell r="C29">
            <v>395.8</v>
          </cell>
        </row>
        <row r="30">
          <cell r="C30">
            <v>0</v>
          </cell>
        </row>
        <row r="31">
          <cell r="C31">
            <v>202267.45572632915</v>
          </cell>
        </row>
        <row r="32">
          <cell r="C32">
            <v>24272.094687159497</v>
          </cell>
        </row>
        <row r="33">
          <cell r="C33">
            <v>226539.55041348864</v>
          </cell>
        </row>
        <row r="34">
          <cell r="C34">
            <v>4045.349114526583</v>
          </cell>
        </row>
        <row r="35">
          <cell r="C35">
            <v>222494.20129896206</v>
          </cell>
        </row>
      </sheetData>
      <sheetData sheetId="9">
        <row r="8">
          <cell r="C8">
            <v>15645.624609375001</v>
          </cell>
        </row>
        <row r="9">
          <cell r="C9">
            <v>0</v>
          </cell>
        </row>
        <row r="10">
          <cell r="C10">
            <v>1564.5624609375002</v>
          </cell>
        </row>
        <row r="11">
          <cell r="C11">
            <v>3234</v>
          </cell>
        </row>
        <row r="12">
          <cell r="C12">
            <v>499.98</v>
          </cell>
        </row>
        <row r="13">
          <cell r="C13">
            <v>0</v>
          </cell>
        </row>
        <row r="14">
          <cell r="C14">
            <v>0</v>
          </cell>
        </row>
        <row r="15">
          <cell r="C15">
            <v>0</v>
          </cell>
        </row>
        <row r="16">
          <cell r="C16">
            <v>20944.167070312502</v>
          </cell>
        </row>
        <row r="17">
          <cell r="C17">
            <v>2513.3000484375002</v>
          </cell>
        </row>
        <row r="18">
          <cell r="C18">
            <v>23457.467118750003</v>
          </cell>
        </row>
        <row r="19">
          <cell r="C19">
            <v>418.88334140625005</v>
          </cell>
        </row>
        <row r="20">
          <cell r="C20">
            <v>23038.583777343752</v>
          </cell>
        </row>
      </sheetData>
      <sheetData sheetId="10">
        <row r="11">
          <cell r="C11">
            <v>48513.045708733975</v>
          </cell>
        </row>
        <row r="12">
          <cell r="C12">
            <v>1027.32</v>
          </cell>
        </row>
        <row r="13">
          <cell r="C13">
            <v>4954.036570873398</v>
          </cell>
        </row>
        <row r="14">
          <cell r="C14">
            <v>6948.21875</v>
          </cell>
        </row>
        <row r="15">
          <cell r="C15">
            <v>538.44000000000005</v>
          </cell>
        </row>
        <row r="16">
          <cell r="C16">
            <v>526.42124999999999</v>
          </cell>
        </row>
        <row r="17">
          <cell r="C17">
            <v>0</v>
          </cell>
        </row>
        <row r="18">
          <cell r="C18">
            <v>0</v>
          </cell>
        </row>
        <row r="19">
          <cell r="C19">
            <v>62507.482279607371</v>
          </cell>
        </row>
        <row r="20">
          <cell r="C20">
            <v>7500.8978735528844</v>
          </cell>
        </row>
        <row r="21">
          <cell r="C21">
            <v>70008.380153160251</v>
          </cell>
        </row>
        <row r="22">
          <cell r="C22">
            <v>1250.1496455921474</v>
          </cell>
        </row>
        <row r="23">
          <cell r="C23">
            <v>68758.230507568107</v>
          </cell>
        </row>
      </sheetData>
      <sheetData sheetId="11">
        <row r="12">
          <cell r="C12">
            <v>53713.86211738782</v>
          </cell>
        </row>
        <row r="13">
          <cell r="C13">
            <v>934.73</v>
          </cell>
        </row>
        <row r="14">
          <cell r="C14">
            <v>5464.8592117387825</v>
          </cell>
        </row>
        <row r="15">
          <cell r="C15">
            <v>11157.31</v>
          </cell>
        </row>
        <row r="16">
          <cell r="C16">
            <v>499.98</v>
          </cell>
        </row>
        <row r="17">
          <cell r="C17">
            <v>0</v>
          </cell>
        </row>
        <row r="18">
          <cell r="C18">
            <v>120</v>
          </cell>
        </row>
        <row r="19">
          <cell r="C19">
            <v>0</v>
          </cell>
        </row>
        <row r="20">
          <cell r="C20">
            <v>71890.741329126598</v>
          </cell>
        </row>
        <row r="21">
          <cell r="C21">
            <v>8626.8889594951906</v>
          </cell>
        </row>
        <row r="22">
          <cell r="C22">
            <v>80517.630288621789</v>
          </cell>
        </row>
        <row r="23">
          <cell r="C23">
            <v>1437.8148265825321</v>
          </cell>
        </row>
        <row r="24">
          <cell r="C24">
            <v>79079.81546203926</v>
          </cell>
        </row>
      </sheetData>
      <sheetData sheetId="12">
        <row r="13">
          <cell r="C13">
            <v>55391.593515292465</v>
          </cell>
        </row>
        <row r="14">
          <cell r="C14">
            <v>0</v>
          </cell>
        </row>
        <row r="15">
          <cell r="C15">
            <v>5539.159351529247</v>
          </cell>
        </row>
        <row r="16">
          <cell r="C16">
            <v>9346.4312499999996</v>
          </cell>
        </row>
        <row r="17">
          <cell r="C17">
            <v>487.817025</v>
          </cell>
        </row>
        <row r="18">
          <cell r="C18">
            <v>0</v>
          </cell>
        </row>
        <row r="19">
          <cell r="C19">
            <v>0</v>
          </cell>
        </row>
        <row r="20">
          <cell r="C20">
            <v>0</v>
          </cell>
        </row>
        <row r="21">
          <cell r="C21">
            <v>70765.001141821704</v>
          </cell>
        </row>
        <row r="22">
          <cell r="C22">
            <v>8491.8001370186048</v>
          </cell>
        </row>
        <row r="23">
          <cell r="C23">
            <v>79256.801278840314</v>
          </cell>
        </row>
        <row r="24">
          <cell r="C24">
            <v>1415.3000228364342</v>
          </cell>
        </row>
        <row r="25">
          <cell r="C25">
            <v>77841.501256003874</v>
          </cell>
        </row>
      </sheetData>
      <sheetData sheetId="13">
        <row r="10">
          <cell r="C10">
            <v>39442.206191826925</v>
          </cell>
        </row>
        <row r="11">
          <cell r="C11">
            <v>213.91</v>
          </cell>
        </row>
        <row r="12">
          <cell r="C12">
            <v>3965.6116191826932</v>
          </cell>
        </row>
        <row r="13">
          <cell r="C13">
            <v>6694.5659000000005</v>
          </cell>
        </row>
        <row r="14">
          <cell r="C14">
            <v>0</v>
          </cell>
        </row>
        <row r="15">
          <cell r="C15">
            <v>0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50316.293711009625</v>
          </cell>
        </row>
        <row r="19">
          <cell r="C19">
            <v>6037.9552453211545</v>
          </cell>
        </row>
        <row r="20">
          <cell r="C20">
            <v>56354.248956330775</v>
          </cell>
        </row>
        <row r="21">
          <cell r="C21">
            <v>1006.3258742201925</v>
          </cell>
        </row>
        <row r="22">
          <cell r="C22">
            <v>55347.923082110581</v>
          </cell>
        </row>
      </sheetData>
      <sheetData sheetId="14">
        <row r="11">
          <cell r="C11">
            <v>42436.449386137829</v>
          </cell>
        </row>
        <row r="12">
          <cell r="C12">
            <v>1025.8399999999999</v>
          </cell>
        </row>
        <row r="13">
          <cell r="C13">
            <v>4346.2289386137827</v>
          </cell>
        </row>
        <row r="14">
          <cell r="C14">
            <v>3948.2849000000001</v>
          </cell>
        </row>
        <row r="15">
          <cell r="C15">
            <v>0</v>
          </cell>
        </row>
        <row r="16">
          <cell r="C16">
            <v>0</v>
          </cell>
        </row>
        <row r="17">
          <cell r="C17">
            <v>50</v>
          </cell>
        </row>
        <row r="18">
          <cell r="C18">
            <v>0</v>
          </cell>
        </row>
        <row r="19">
          <cell r="C19">
            <v>51806.803224751609</v>
          </cell>
        </row>
        <row r="20">
          <cell r="C20">
            <v>6216.816386970193</v>
          </cell>
        </row>
        <row r="21">
          <cell r="C21">
            <v>58023.619611721806</v>
          </cell>
        </row>
        <row r="22">
          <cell r="C22">
            <v>1036.1360644950323</v>
          </cell>
        </row>
        <row r="23">
          <cell r="C23">
            <v>56987.483547226773</v>
          </cell>
        </row>
      </sheetData>
      <sheetData sheetId="15">
        <row r="19">
          <cell r="C19">
            <v>104994.40211017628</v>
          </cell>
        </row>
        <row r="20">
          <cell r="C20">
            <v>0</v>
          </cell>
        </row>
        <row r="21">
          <cell r="C21">
            <v>10499.440211017629</v>
          </cell>
        </row>
        <row r="22">
          <cell r="C22">
            <v>19390.611250000002</v>
          </cell>
        </row>
        <row r="23">
          <cell r="C23">
            <v>1038.2757750000001</v>
          </cell>
        </row>
        <row r="24">
          <cell r="C24">
            <v>0</v>
          </cell>
        </row>
        <row r="25">
          <cell r="C25">
            <v>0</v>
          </cell>
        </row>
        <row r="26">
          <cell r="C26">
            <v>0</v>
          </cell>
        </row>
        <row r="27">
          <cell r="C27">
            <v>135922.7293461939</v>
          </cell>
        </row>
        <row r="28">
          <cell r="C28">
            <v>16310.727521543267</v>
          </cell>
        </row>
        <row r="29">
          <cell r="C29">
            <v>152233.45686773717</v>
          </cell>
        </row>
        <row r="30">
          <cell r="C30">
            <v>2718.4545869238782</v>
          </cell>
        </row>
        <row r="31">
          <cell r="C31">
            <v>149515.00228081329</v>
          </cell>
        </row>
      </sheetData>
      <sheetData sheetId="16">
        <row r="9">
          <cell r="C9">
            <v>26124.167689102571</v>
          </cell>
        </row>
        <row r="10">
          <cell r="C10">
            <v>0</v>
          </cell>
        </row>
        <row r="11">
          <cell r="C11">
            <v>2612.4167689102574</v>
          </cell>
        </row>
        <row r="12">
          <cell r="C12">
            <v>5616.1450000000004</v>
          </cell>
        </row>
        <row r="13">
          <cell r="C13">
            <v>487.14397500000001</v>
          </cell>
        </row>
        <row r="14">
          <cell r="C14">
            <v>0</v>
          </cell>
        </row>
        <row r="15">
          <cell r="C15">
            <v>0</v>
          </cell>
        </row>
        <row r="16">
          <cell r="C16">
            <v>0</v>
          </cell>
        </row>
        <row r="17">
          <cell r="C17">
            <v>34839.873433012828</v>
          </cell>
        </row>
        <row r="18">
          <cell r="C18">
            <v>4180.7848119615392</v>
          </cell>
        </row>
        <row r="19">
          <cell r="C19">
            <v>39020.658244974366</v>
          </cell>
        </row>
        <row r="20">
          <cell r="C20">
            <v>696.79746866025653</v>
          </cell>
        </row>
        <row r="21">
          <cell r="C21">
            <v>38323.860776314112</v>
          </cell>
        </row>
      </sheetData>
      <sheetData sheetId="17">
        <row r="11">
          <cell r="C11">
            <v>35792.740500651038</v>
          </cell>
        </row>
        <row r="12">
          <cell r="C12">
            <v>0</v>
          </cell>
        </row>
        <row r="13">
          <cell r="C13">
            <v>3579.2740500651039</v>
          </cell>
        </row>
        <row r="14">
          <cell r="C14">
            <v>9658.5275000000001</v>
          </cell>
        </row>
        <row r="15">
          <cell r="C15">
            <v>536.61315000000002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19">
          <cell r="C19">
            <v>49567.155200716144</v>
          </cell>
        </row>
        <row r="20">
          <cell r="C20">
            <v>5948.0586240859375</v>
          </cell>
        </row>
        <row r="21">
          <cell r="C21">
            <v>55515.213824802078</v>
          </cell>
        </row>
        <row r="22">
          <cell r="C22">
            <v>991.34310401432288</v>
          </cell>
        </row>
        <row r="23">
          <cell r="C23">
            <v>54523.870720787752</v>
          </cell>
        </row>
      </sheetData>
      <sheetData sheetId="18">
        <row r="7">
          <cell r="C7">
            <v>8527.1251105769225</v>
          </cell>
        </row>
        <row r="8">
          <cell r="C8">
            <v>0</v>
          </cell>
        </row>
        <row r="9">
          <cell r="C9">
            <v>852.71251105769227</v>
          </cell>
        </row>
        <row r="10">
          <cell r="C10">
            <v>2016</v>
          </cell>
        </row>
        <row r="11">
          <cell r="C11">
            <v>0</v>
          </cell>
        </row>
        <row r="12">
          <cell r="C12">
            <v>0</v>
          </cell>
        </row>
        <row r="13">
          <cell r="C13">
            <v>0</v>
          </cell>
        </row>
        <row r="14">
          <cell r="C14">
            <v>0</v>
          </cell>
        </row>
        <row r="15">
          <cell r="C15">
            <v>11395.837621634615</v>
          </cell>
        </row>
        <row r="16">
          <cell r="C16">
            <v>1367.5005145961538</v>
          </cell>
        </row>
        <row r="17">
          <cell r="C17">
            <v>12763.338136230768</v>
          </cell>
        </row>
        <row r="18">
          <cell r="C18">
            <v>227.91675243269231</v>
          </cell>
        </row>
        <row r="19">
          <cell r="C19">
            <v>12535.421383798075</v>
          </cell>
        </row>
      </sheetData>
      <sheetData sheetId="19">
        <row r="8">
          <cell r="C8">
            <v>20286.827148717948</v>
          </cell>
        </row>
        <row r="9">
          <cell r="C9">
            <v>0</v>
          </cell>
        </row>
        <row r="10">
          <cell r="C10">
            <v>2028.6827148717948</v>
          </cell>
        </row>
        <row r="11">
          <cell r="C11">
            <v>4417.4825999999994</v>
          </cell>
        </row>
        <row r="12">
          <cell r="C12">
            <v>0</v>
          </cell>
        </row>
        <row r="13">
          <cell r="C13">
            <v>0</v>
          </cell>
        </row>
        <row r="14">
          <cell r="C14">
            <v>0</v>
          </cell>
        </row>
        <row r="15">
          <cell r="C15">
            <v>0</v>
          </cell>
        </row>
        <row r="16">
          <cell r="C16">
            <v>26732.992463589744</v>
          </cell>
        </row>
        <row r="17">
          <cell r="C17">
            <v>3207.9590956307693</v>
          </cell>
        </row>
        <row r="18">
          <cell r="C18">
            <v>29940.951559220513</v>
          </cell>
        </row>
        <row r="19">
          <cell r="C19">
            <v>534.65984927179488</v>
          </cell>
        </row>
        <row r="20">
          <cell r="C20">
            <v>29406.291709948717</v>
          </cell>
        </row>
      </sheetData>
      <sheetData sheetId="20">
        <row r="7">
          <cell r="C7">
            <v>10438.820512820512</v>
          </cell>
        </row>
        <row r="8">
          <cell r="C8">
            <v>0</v>
          </cell>
        </row>
        <row r="9">
          <cell r="C9">
            <v>1043.8820512820512</v>
          </cell>
        </row>
        <row r="10">
          <cell r="C10">
            <v>1190</v>
          </cell>
        </row>
        <row r="11">
          <cell r="C11">
            <v>0</v>
          </cell>
        </row>
        <row r="12">
          <cell r="C12">
            <v>0</v>
          </cell>
        </row>
        <row r="13">
          <cell r="C13">
            <v>0</v>
          </cell>
        </row>
        <row r="14">
          <cell r="C14">
            <v>0</v>
          </cell>
        </row>
        <row r="15">
          <cell r="C15">
            <v>12672.702564102563</v>
          </cell>
        </row>
        <row r="16">
          <cell r="C16">
            <v>1520.7243076923075</v>
          </cell>
        </row>
        <row r="17">
          <cell r="C17">
            <v>14193.426871794871</v>
          </cell>
        </row>
        <row r="18">
          <cell r="C18">
            <v>253.45405128205127</v>
          </cell>
        </row>
        <row r="19">
          <cell r="C19">
            <v>13939.972820512819</v>
          </cell>
        </row>
      </sheetData>
      <sheetData sheetId="21">
        <row r="8">
          <cell r="C8">
            <v>20913.96367988782</v>
          </cell>
        </row>
        <row r="9">
          <cell r="C9">
            <v>0</v>
          </cell>
        </row>
        <row r="10">
          <cell r="C10">
            <v>2091.396367988782</v>
          </cell>
        </row>
        <row r="11">
          <cell r="C11">
            <v>2233.125</v>
          </cell>
        </row>
        <row r="12">
          <cell r="C12">
            <v>537.23812499999997</v>
          </cell>
        </row>
        <row r="13">
          <cell r="C13">
            <v>0</v>
          </cell>
        </row>
        <row r="14">
          <cell r="C14">
            <v>0</v>
          </cell>
        </row>
        <row r="15">
          <cell r="C15">
            <v>0</v>
          </cell>
        </row>
        <row r="16">
          <cell r="C16">
            <v>25775.723172876602</v>
          </cell>
        </row>
        <row r="17">
          <cell r="C17">
            <v>3093.0867807451923</v>
          </cell>
        </row>
        <row r="18">
          <cell r="C18">
            <v>28868.809953621792</v>
          </cell>
        </row>
        <row r="19">
          <cell r="C19">
            <v>515.51446345753209</v>
          </cell>
        </row>
        <row r="20">
          <cell r="C20">
            <v>28353.295490164259</v>
          </cell>
        </row>
      </sheetData>
      <sheetData sheetId="22">
        <row r="9">
          <cell r="C9">
            <v>23222.21836858974</v>
          </cell>
        </row>
        <row r="10">
          <cell r="C10">
            <v>0</v>
          </cell>
        </row>
        <row r="11">
          <cell r="C11">
            <v>2322.2218368589743</v>
          </cell>
        </row>
        <row r="12">
          <cell r="C12">
            <v>1813.625</v>
          </cell>
        </row>
        <row r="13">
          <cell r="C13">
            <v>0</v>
          </cell>
        </row>
        <row r="14">
          <cell r="C14">
            <v>0</v>
          </cell>
        </row>
        <row r="15">
          <cell r="C15">
            <v>0</v>
          </cell>
        </row>
        <row r="16">
          <cell r="C16">
            <v>0</v>
          </cell>
        </row>
        <row r="17">
          <cell r="C17">
            <v>27358.065205448715</v>
          </cell>
        </row>
        <row r="18">
          <cell r="C18">
            <v>3282.9678246538456</v>
          </cell>
        </row>
        <row r="19">
          <cell r="C19">
            <v>30641.033030102561</v>
          </cell>
        </row>
        <row r="20">
          <cell r="C20">
            <v>547.16130410897426</v>
          </cell>
        </row>
        <row r="21">
          <cell r="C21">
            <v>30093.871725993587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na Marie Afortunado" id="{515664B0-67D5-4B09-ADBE-68028BB2A651}" userId="e0765819c5c7e8f4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X5" dT="2025-05-25T21:15:22.29" personId="{515664B0-67D5-4B09-ADBE-68028BB2A651}" id="{FE283332-FCDC-4EC9-96B9-212867E6DB4C}">
    <text>Check formula for computing overbreak.  Based on previous, value was based on hourly billing rate, not hourly employee rate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4E4B0-0AD9-4D1F-982B-75AF5FB5C32B}">
  <dimension ref="A1:BX140"/>
  <sheetViews>
    <sheetView tabSelected="1" workbookViewId="0">
      <pane ySplit="5" topLeftCell="A6" activePane="bottomLeft" state="frozen"/>
      <selection pane="bottomLeft" activeCell="C3" sqref="C3"/>
    </sheetView>
  </sheetViews>
  <sheetFormatPr defaultRowHeight="14.4" x14ac:dyDescent="0.3"/>
  <cols>
    <col min="1" max="1" width="9.6640625" style="2" customWidth="1"/>
    <col min="2" max="2" width="30" style="1" customWidth="1"/>
    <col min="3" max="3" width="18.44140625" style="1" customWidth="1"/>
    <col min="4" max="4" width="30.88671875" style="1" customWidth="1"/>
    <col min="5" max="5" width="20.6640625" style="2" customWidth="1"/>
    <col min="6" max="6" width="12" style="3" customWidth="1"/>
    <col min="7" max="8" width="18" style="2" customWidth="1"/>
    <col min="9" max="10" width="9.33203125" style="4" customWidth="1"/>
    <col min="11" max="11" width="11.33203125" style="5" customWidth="1"/>
    <col min="12" max="12" width="11.6640625" style="5" customWidth="1"/>
    <col min="13" max="14" width="16" style="6" customWidth="1"/>
    <col min="15" max="15" width="9.33203125" style="5" customWidth="1"/>
    <col min="16" max="16" width="9.5546875" style="5" customWidth="1"/>
    <col min="17" max="20" width="12.109375" style="4" customWidth="1"/>
    <col min="21" max="22" width="9.33203125" style="4" customWidth="1"/>
    <col min="23" max="24" width="9.33203125" style="7" customWidth="1"/>
    <col min="25" max="25" width="7.6640625" style="5" customWidth="1"/>
    <col min="26" max="26" width="10.109375" style="4" customWidth="1"/>
    <col min="27" max="28" width="7.6640625" style="4" customWidth="1"/>
    <col min="29" max="29" width="7.6640625" style="5" customWidth="1"/>
    <col min="30" max="30" width="10" style="4" customWidth="1"/>
    <col min="31" max="33" width="7.6640625" style="4" customWidth="1"/>
    <col min="34" max="34" width="11" style="4" customWidth="1"/>
    <col min="35" max="40" width="7.6640625" style="4" customWidth="1"/>
    <col min="41" max="41" width="9.5546875" style="4" customWidth="1"/>
    <col min="42" max="42" width="11.33203125" style="4" customWidth="1"/>
    <col min="43" max="43" width="7.6640625" style="4" customWidth="1"/>
    <col min="44" max="44" width="12.5546875" style="4" customWidth="1"/>
    <col min="45" max="47" width="7.6640625" style="4" customWidth="1"/>
    <col min="48" max="48" width="11" style="4" customWidth="1"/>
    <col min="49" max="57" width="7.6640625" style="4" customWidth="1"/>
    <col min="58" max="58" width="11" style="4" customWidth="1"/>
    <col min="59" max="71" width="7.6640625" style="4" customWidth="1"/>
    <col min="72" max="72" width="7.6640625" style="2" customWidth="1"/>
    <col min="73" max="73" width="23" style="2" customWidth="1"/>
    <col min="74" max="74" width="16.88671875" style="2" customWidth="1"/>
    <col min="75" max="76" width="18.6640625" style="2" customWidth="1"/>
    <col min="77" max="293" width="8.88671875" style="2"/>
    <col min="294" max="294" width="9.6640625" style="2" customWidth="1"/>
    <col min="295" max="295" width="23.5546875" style="2" bestFit="1" customWidth="1"/>
    <col min="296" max="296" width="23.5546875" style="2" customWidth="1"/>
    <col min="297" max="297" width="19.33203125" style="2" bestFit="1" customWidth="1"/>
    <col min="298" max="298" width="30.88671875" style="2" bestFit="1" customWidth="1"/>
    <col min="299" max="299" width="18" style="2" bestFit="1" customWidth="1"/>
    <col min="300" max="303" width="9.33203125" style="2" bestFit="1" customWidth="1"/>
    <col min="304" max="304" width="9.5546875" style="2" bestFit="1" customWidth="1"/>
    <col min="305" max="305" width="9.33203125" style="2" bestFit="1" customWidth="1"/>
    <col min="306" max="314" width="7.6640625" style="2" customWidth="1"/>
    <col min="315" max="315" width="9.5546875" style="2" bestFit="1" customWidth="1"/>
    <col min="316" max="330" width="7.6640625" style="2" customWidth="1"/>
    <col min="331" max="331" width="46.109375" style="2" customWidth="1"/>
    <col min="332" max="549" width="8.88671875" style="2"/>
    <col min="550" max="550" width="9.6640625" style="2" customWidth="1"/>
    <col min="551" max="551" width="23.5546875" style="2" bestFit="1" customWidth="1"/>
    <col min="552" max="552" width="23.5546875" style="2" customWidth="1"/>
    <col min="553" max="553" width="19.33203125" style="2" bestFit="1" customWidth="1"/>
    <col min="554" max="554" width="30.88671875" style="2" bestFit="1" customWidth="1"/>
    <col min="555" max="555" width="18" style="2" bestFit="1" customWidth="1"/>
    <col min="556" max="559" width="9.33203125" style="2" bestFit="1" customWidth="1"/>
    <col min="560" max="560" width="9.5546875" style="2" bestFit="1" customWidth="1"/>
    <col min="561" max="561" width="9.33203125" style="2" bestFit="1" customWidth="1"/>
    <col min="562" max="570" width="7.6640625" style="2" customWidth="1"/>
    <col min="571" max="571" width="9.5546875" style="2" bestFit="1" customWidth="1"/>
    <col min="572" max="586" width="7.6640625" style="2" customWidth="1"/>
    <col min="587" max="587" width="46.109375" style="2" customWidth="1"/>
    <col min="588" max="805" width="8.88671875" style="2"/>
    <col min="806" max="806" width="9.6640625" style="2" customWidth="1"/>
    <col min="807" max="807" width="23.5546875" style="2" bestFit="1" customWidth="1"/>
    <col min="808" max="808" width="23.5546875" style="2" customWidth="1"/>
    <col min="809" max="809" width="19.33203125" style="2" bestFit="1" customWidth="1"/>
    <col min="810" max="810" width="30.88671875" style="2" bestFit="1" customWidth="1"/>
    <col min="811" max="811" width="18" style="2" bestFit="1" customWidth="1"/>
    <col min="812" max="815" width="9.33203125" style="2" bestFit="1" customWidth="1"/>
    <col min="816" max="816" width="9.5546875" style="2" bestFit="1" customWidth="1"/>
    <col min="817" max="817" width="9.33203125" style="2" bestFit="1" customWidth="1"/>
    <col min="818" max="826" width="7.6640625" style="2" customWidth="1"/>
    <col min="827" max="827" width="9.5546875" style="2" bestFit="1" customWidth="1"/>
    <col min="828" max="842" width="7.6640625" style="2" customWidth="1"/>
    <col min="843" max="843" width="46.109375" style="2" customWidth="1"/>
    <col min="844" max="1061" width="8.88671875" style="2"/>
    <col min="1062" max="1062" width="9.6640625" style="2" customWidth="1"/>
    <col min="1063" max="1063" width="23.5546875" style="2" bestFit="1" customWidth="1"/>
    <col min="1064" max="1064" width="23.5546875" style="2" customWidth="1"/>
    <col min="1065" max="1065" width="19.33203125" style="2" bestFit="1" customWidth="1"/>
    <col min="1066" max="1066" width="30.88671875" style="2" bestFit="1" customWidth="1"/>
    <col min="1067" max="1067" width="18" style="2" bestFit="1" customWidth="1"/>
    <col min="1068" max="1071" width="9.33203125" style="2" bestFit="1" customWidth="1"/>
    <col min="1072" max="1072" width="9.5546875" style="2" bestFit="1" customWidth="1"/>
    <col min="1073" max="1073" width="9.33203125" style="2" bestFit="1" customWidth="1"/>
    <col min="1074" max="1082" width="7.6640625" style="2" customWidth="1"/>
    <col min="1083" max="1083" width="9.5546875" style="2" bestFit="1" customWidth="1"/>
    <col min="1084" max="1098" width="7.6640625" style="2" customWidth="1"/>
    <col min="1099" max="1099" width="46.109375" style="2" customWidth="1"/>
    <col min="1100" max="1317" width="8.88671875" style="2"/>
    <col min="1318" max="1318" width="9.6640625" style="2" customWidth="1"/>
    <col min="1319" max="1319" width="23.5546875" style="2" bestFit="1" customWidth="1"/>
    <col min="1320" max="1320" width="23.5546875" style="2" customWidth="1"/>
    <col min="1321" max="1321" width="19.33203125" style="2" bestFit="1" customWidth="1"/>
    <col min="1322" max="1322" width="30.88671875" style="2" bestFit="1" customWidth="1"/>
    <col min="1323" max="1323" width="18" style="2" bestFit="1" customWidth="1"/>
    <col min="1324" max="1327" width="9.33203125" style="2" bestFit="1" customWidth="1"/>
    <col min="1328" max="1328" width="9.5546875" style="2" bestFit="1" customWidth="1"/>
    <col min="1329" max="1329" width="9.33203125" style="2" bestFit="1" customWidth="1"/>
    <col min="1330" max="1338" width="7.6640625" style="2" customWidth="1"/>
    <col min="1339" max="1339" width="9.5546875" style="2" bestFit="1" customWidth="1"/>
    <col min="1340" max="1354" width="7.6640625" style="2" customWidth="1"/>
    <col min="1355" max="1355" width="46.109375" style="2" customWidth="1"/>
    <col min="1356" max="1573" width="8.88671875" style="2"/>
    <col min="1574" max="1574" width="9.6640625" style="2" customWidth="1"/>
    <col min="1575" max="1575" width="23.5546875" style="2" bestFit="1" customWidth="1"/>
    <col min="1576" max="1576" width="23.5546875" style="2" customWidth="1"/>
    <col min="1577" max="1577" width="19.33203125" style="2" bestFit="1" customWidth="1"/>
    <col min="1578" max="1578" width="30.88671875" style="2" bestFit="1" customWidth="1"/>
    <col min="1579" max="1579" width="18" style="2" bestFit="1" customWidth="1"/>
    <col min="1580" max="1583" width="9.33203125" style="2" bestFit="1" customWidth="1"/>
    <col min="1584" max="1584" width="9.5546875" style="2" bestFit="1" customWidth="1"/>
    <col min="1585" max="1585" width="9.33203125" style="2" bestFit="1" customWidth="1"/>
    <col min="1586" max="1594" width="7.6640625" style="2" customWidth="1"/>
    <col min="1595" max="1595" width="9.5546875" style="2" bestFit="1" customWidth="1"/>
    <col min="1596" max="1610" width="7.6640625" style="2" customWidth="1"/>
    <col min="1611" max="1611" width="46.109375" style="2" customWidth="1"/>
    <col min="1612" max="1829" width="8.88671875" style="2"/>
    <col min="1830" max="1830" width="9.6640625" style="2" customWidth="1"/>
    <col min="1831" max="1831" width="23.5546875" style="2" bestFit="1" customWidth="1"/>
    <col min="1832" max="1832" width="23.5546875" style="2" customWidth="1"/>
    <col min="1833" max="1833" width="19.33203125" style="2" bestFit="1" customWidth="1"/>
    <col min="1834" max="1834" width="30.88671875" style="2" bestFit="1" customWidth="1"/>
    <col min="1835" max="1835" width="18" style="2" bestFit="1" customWidth="1"/>
    <col min="1836" max="1839" width="9.33203125" style="2" bestFit="1" customWidth="1"/>
    <col min="1840" max="1840" width="9.5546875" style="2" bestFit="1" customWidth="1"/>
    <col min="1841" max="1841" width="9.33203125" style="2" bestFit="1" customWidth="1"/>
    <col min="1842" max="1850" width="7.6640625" style="2" customWidth="1"/>
    <col min="1851" max="1851" width="9.5546875" style="2" bestFit="1" customWidth="1"/>
    <col min="1852" max="1866" width="7.6640625" style="2" customWidth="1"/>
    <col min="1867" max="1867" width="46.109375" style="2" customWidth="1"/>
    <col min="1868" max="2085" width="8.88671875" style="2"/>
    <col min="2086" max="2086" width="9.6640625" style="2" customWidth="1"/>
    <col min="2087" max="2087" width="23.5546875" style="2" bestFit="1" customWidth="1"/>
    <col min="2088" max="2088" width="23.5546875" style="2" customWidth="1"/>
    <col min="2089" max="2089" width="19.33203125" style="2" bestFit="1" customWidth="1"/>
    <col min="2090" max="2090" width="30.88671875" style="2" bestFit="1" customWidth="1"/>
    <col min="2091" max="2091" width="18" style="2" bestFit="1" customWidth="1"/>
    <col min="2092" max="2095" width="9.33203125" style="2" bestFit="1" customWidth="1"/>
    <col min="2096" max="2096" width="9.5546875" style="2" bestFit="1" customWidth="1"/>
    <col min="2097" max="2097" width="9.33203125" style="2" bestFit="1" customWidth="1"/>
    <col min="2098" max="2106" width="7.6640625" style="2" customWidth="1"/>
    <col min="2107" max="2107" width="9.5546875" style="2" bestFit="1" customWidth="1"/>
    <col min="2108" max="2122" width="7.6640625" style="2" customWidth="1"/>
    <col min="2123" max="2123" width="46.109375" style="2" customWidth="1"/>
    <col min="2124" max="2341" width="8.88671875" style="2"/>
    <col min="2342" max="2342" width="9.6640625" style="2" customWidth="1"/>
    <col min="2343" max="2343" width="23.5546875" style="2" bestFit="1" customWidth="1"/>
    <col min="2344" max="2344" width="23.5546875" style="2" customWidth="1"/>
    <col min="2345" max="2345" width="19.33203125" style="2" bestFit="1" customWidth="1"/>
    <col min="2346" max="2346" width="30.88671875" style="2" bestFit="1" customWidth="1"/>
    <col min="2347" max="2347" width="18" style="2" bestFit="1" customWidth="1"/>
    <col min="2348" max="2351" width="9.33203125" style="2" bestFit="1" customWidth="1"/>
    <col min="2352" max="2352" width="9.5546875" style="2" bestFit="1" customWidth="1"/>
    <col min="2353" max="2353" width="9.33203125" style="2" bestFit="1" customWidth="1"/>
    <col min="2354" max="2362" width="7.6640625" style="2" customWidth="1"/>
    <col min="2363" max="2363" width="9.5546875" style="2" bestFit="1" customWidth="1"/>
    <col min="2364" max="2378" width="7.6640625" style="2" customWidth="1"/>
    <col min="2379" max="2379" width="46.109375" style="2" customWidth="1"/>
    <col min="2380" max="2597" width="8.88671875" style="2"/>
    <col min="2598" max="2598" width="9.6640625" style="2" customWidth="1"/>
    <col min="2599" max="2599" width="23.5546875" style="2" bestFit="1" customWidth="1"/>
    <col min="2600" max="2600" width="23.5546875" style="2" customWidth="1"/>
    <col min="2601" max="2601" width="19.33203125" style="2" bestFit="1" customWidth="1"/>
    <col min="2602" max="2602" width="30.88671875" style="2" bestFit="1" customWidth="1"/>
    <col min="2603" max="2603" width="18" style="2" bestFit="1" customWidth="1"/>
    <col min="2604" max="2607" width="9.33203125" style="2" bestFit="1" customWidth="1"/>
    <col min="2608" max="2608" width="9.5546875" style="2" bestFit="1" customWidth="1"/>
    <col min="2609" max="2609" width="9.33203125" style="2" bestFit="1" customWidth="1"/>
    <col min="2610" max="2618" width="7.6640625" style="2" customWidth="1"/>
    <col min="2619" max="2619" width="9.5546875" style="2" bestFit="1" customWidth="1"/>
    <col min="2620" max="2634" width="7.6640625" style="2" customWidth="1"/>
    <col min="2635" max="2635" width="46.109375" style="2" customWidth="1"/>
    <col min="2636" max="2853" width="8.88671875" style="2"/>
    <col min="2854" max="2854" width="9.6640625" style="2" customWidth="1"/>
    <col min="2855" max="2855" width="23.5546875" style="2" bestFit="1" customWidth="1"/>
    <col min="2856" max="2856" width="23.5546875" style="2" customWidth="1"/>
    <col min="2857" max="2857" width="19.33203125" style="2" bestFit="1" customWidth="1"/>
    <col min="2858" max="2858" width="30.88671875" style="2" bestFit="1" customWidth="1"/>
    <col min="2859" max="2859" width="18" style="2" bestFit="1" customWidth="1"/>
    <col min="2860" max="2863" width="9.33203125" style="2" bestFit="1" customWidth="1"/>
    <col min="2864" max="2864" width="9.5546875" style="2" bestFit="1" customWidth="1"/>
    <col min="2865" max="2865" width="9.33203125" style="2" bestFit="1" customWidth="1"/>
    <col min="2866" max="2874" width="7.6640625" style="2" customWidth="1"/>
    <col min="2875" max="2875" width="9.5546875" style="2" bestFit="1" customWidth="1"/>
    <col min="2876" max="2890" width="7.6640625" style="2" customWidth="1"/>
    <col min="2891" max="2891" width="46.109375" style="2" customWidth="1"/>
    <col min="2892" max="3109" width="8.88671875" style="2"/>
    <col min="3110" max="3110" width="9.6640625" style="2" customWidth="1"/>
    <col min="3111" max="3111" width="23.5546875" style="2" bestFit="1" customWidth="1"/>
    <col min="3112" max="3112" width="23.5546875" style="2" customWidth="1"/>
    <col min="3113" max="3113" width="19.33203125" style="2" bestFit="1" customWidth="1"/>
    <col min="3114" max="3114" width="30.88671875" style="2" bestFit="1" customWidth="1"/>
    <col min="3115" max="3115" width="18" style="2" bestFit="1" customWidth="1"/>
    <col min="3116" max="3119" width="9.33203125" style="2" bestFit="1" customWidth="1"/>
    <col min="3120" max="3120" width="9.5546875" style="2" bestFit="1" customWidth="1"/>
    <col min="3121" max="3121" width="9.33203125" style="2" bestFit="1" customWidth="1"/>
    <col min="3122" max="3130" width="7.6640625" style="2" customWidth="1"/>
    <col min="3131" max="3131" width="9.5546875" style="2" bestFit="1" customWidth="1"/>
    <col min="3132" max="3146" width="7.6640625" style="2" customWidth="1"/>
    <col min="3147" max="3147" width="46.109375" style="2" customWidth="1"/>
    <col min="3148" max="3365" width="8.88671875" style="2"/>
    <col min="3366" max="3366" width="9.6640625" style="2" customWidth="1"/>
    <col min="3367" max="3367" width="23.5546875" style="2" bestFit="1" customWidth="1"/>
    <col min="3368" max="3368" width="23.5546875" style="2" customWidth="1"/>
    <col min="3369" max="3369" width="19.33203125" style="2" bestFit="1" customWidth="1"/>
    <col min="3370" max="3370" width="30.88671875" style="2" bestFit="1" customWidth="1"/>
    <col min="3371" max="3371" width="18" style="2" bestFit="1" customWidth="1"/>
    <col min="3372" max="3375" width="9.33203125" style="2" bestFit="1" customWidth="1"/>
    <col min="3376" max="3376" width="9.5546875" style="2" bestFit="1" customWidth="1"/>
    <col min="3377" max="3377" width="9.33203125" style="2" bestFit="1" customWidth="1"/>
    <col min="3378" max="3386" width="7.6640625" style="2" customWidth="1"/>
    <col min="3387" max="3387" width="9.5546875" style="2" bestFit="1" customWidth="1"/>
    <col min="3388" max="3402" width="7.6640625" style="2" customWidth="1"/>
    <col min="3403" max="3403" width="46.109375" style="2" customWidth="1"/>
    <col min="3404" max="3621" width="8.88671875" style="2"/>
    <col min="3622" max="3622" width="9.6640625" style="2" customWidth="1"/>
    <col min="3623" max="3623" width="23.5546875" style="2" bestFit="1" customWidth="1"/>
    <col min="3624" max="3624" width="23.5546875" style="2" customWidth="1"/>
    <col min="3625" max="3625" width="19.33203125" style="2" bestFit="1" customWidth="1"/>
    <col min="3626" max="3626" width="30.88671875" style="2" bestFit="1" customWidth="1"/>
    <col min="3627" max="3627" width="18" style="2" bestFit="1" customWidth="1"/>
    <col min="3628" max="3631" width="9.33203125" style="2" bestFit="1" customWidth="1"/>
    <col min="3632" max="3632" width="9.5546875" style="2" bestFit="1" customWidth="1"/>
    <col min="3633" max="3633" width="9.33203125" style="2" bestFit="1" customWidth="1"/>
    <col min="3634" max="3642" width="7.6640625" style="2" customWidth="1"/>
    <col min="3643" max="3643" width="9.5546875" style="2" bestFit="1" customWidth="1"/>
    <col min="3644" max="3658" width="7.6640625" style="2" customWidth="1"/>
    <col min="3659" max="3659" width="46.109375" style="2" customWidth="1"/>
    <col min="3660" max="3877" width="8.88671875" style="2"/>
    <col min="3878" max="3878" width="9.6640625" style="2" customWidth="1"/>
    <col min="3879" max="3879" width="23.5546875" style="2" bestFit="1" customWidth="1"/>
    <col min="3880" max="3880" width="23.5546875" style="2" customWidth="1"/>
    <col min="3881" max="3881" width="19.33203125" style="2" bestFit="1" customWidth="1"/>
    <col min="3882" max="3882" width="30.88671875" style="2" bestFit="1" customWidth="1"/>
    <col min="3883" max="3883" width="18" style="2" bestFit="1" customWidth="1"/>
    <col min="3884" max="3887" width="9.33203125" style="2" bestFit="1" customWidth="1"/>
    <col min="3888" max="3888" width="9.5546875" style="2" bestFit="1" customWidth="1"/>
    <col min="3889" max="3889" width="9.33203125" style="2" bestFit="1" customWidth="1"/>
    <col min="3890" max="3898" width="7.6640625" style="2" customWidth="1"/>
    <col min="3899" max="3899" width="9.5546875" style="2" bestFit="1" customWidth="1"/>
    <col min="3900" max="3914" width="7.6640625" style="2" customWidth="1"/>
    <col min="3915" max="3915" width="46.109375" style="2" customWidth="1"/>
    <col min="3916" max="4133" width="8.88671875" style="2"/>
    <col min="4134" max="4134" width="9.6640625" style="2" customWidth="1"/>
    <col min="4135" max="4135" width="23.5546875" style="2" bestFit="1" customWidth="1"/>
    <col min="4136" max="4136" width="23.5546875" style="2" customWidth="1"/>
    <col min="4137" max="4137" width="19.33203125" style="2" bestFit="1" customWidth="1"/>
    <col min="4138" max="4138" width="30.88671875" style="2" bestFit="1" customWidth="1"/>
    <col min="4139" max="4139" width="18" style="2" bestFit="1" customWidth="1"/>
    <col min="4140" max="4143" width="9.33203125" style="2" bestFit="1" customWidth="1"/>
    <col min="4144" max="4144" width="9.5546875" style="2" bestFit="1" customWidth="1"/>
    <col min="4145" max="4145" width="9.33203125" style="2" bestFit="1" customWidth="1"/>
    <col min="4146" max="4154" width="7.6640625" style="2" customWidth="1"/>
    <col min="4155" max="4155" width="9.5546875" style="2" bestFit="1" customWidth="1"/>
    <col min="4156" max="4170" width="7.6640625" style="2" customWidth="1"/>
    <col min="4171" max="4171" width="46.109375" style="2" customWidth="1"/>
    <col min="4172" max="4389" width="8.88671875" style="2"/>
    <col min="4390" max="4390" width="9.6640625" style="2" customWidth="1"/>
    <col min="4391" max="4391" width="23.5546875" style="2" bestFit="1" customWidth="1"/>
    <col min="4392" max="4392" width="23.5546875" style="2" customWidth="1"/>
    <col min="4393" max="4393" width="19.33203125" style="2" bestFit="1" customWidth="1"/>
    <col min="4394" max="4394" width="30.88671875" style="2" bestFit="1" customWidth="1"/>
    <col min="4395" max="4395" width="18" style="2" bestFit="1" customWidth="1"/>
    <col min="4396" max="4399" width="9.33203125" style="2" bestFit="1" customWidth="1"/>
    <col min="4400" max="4400" width="9.5546875" style="2" bestFit="1" customWidth="1"/>
    <col min="4401" max="4401" width="9.33203125" style="2" bestFit="1" customWidth="1"/>
    <col min="4402" max="4410" width="7.6640625" style="2" customWidth="1"/>
    <col min="4411" max="4411" width="9.5546875" style="2" bestFit="1" customWidth="1"/>
    <col min="4412" max="4426" width="7.6640625" style="2" customWidth="1"/>
    <col min="4427" max="4427" width="46.109375" style="2" customWidth="1"/>
    <col min="4428" max="4645" width="8.88671875" style="2"/>
    <col min="4646" max="4646" width="9.6640625" style="2" customWidth="1"/>
    <col min="4647" max="4647" width="23.5546875" style="2" bestFit="1" customWidth="1"/>
    <col min="4648" max="4648" width="23.5546875" style="2" customWidth="1"/>
    <col min="4649" max="4649" width="19.33203125" style="2" bestFit="1" customWidth="1"/>
    <col min="4650" max="4650" width="30.88671875" style="2" bestFit="1" customWidth="1"/>
    <col min="4651" max="4651" width="18" style="2" bestFit="1" customWidth="1"/>
    <col min="4652" max="4655" width="9.33203125" style="2" bestFit="1" customWidth="1"/>
    <col min="4656" max="4656" width="9.5546875" style="2" bestFit="1" customWidth="1"/>
    <col min="4657" max="4657" width="9.33203125" style="2" bestFit="1" customWidth="1"/>
    <col min="4658" max="4666" width="7.6640625" style="2" customWidth="1"/>
    <col min="4667" max="4667" width="9.5546875" style="2" bestFit="1" customWidth="1"/>
    <col min="4668" max="4682" width="7.6640625" style="2" customWidth="1"/>
    <col min="4683" max="4683" width="46.109375" style="2" customWidth="1"/>
    <col min="4684" max="4901" width="8.88671875" style="2"/>
    <col min="4902" max="4902" width="9.6640625" style="2" customWidth="1"/>
    <col min="4903" max="4903" width="23.5546875" style="2" bestFit="1" customWidth="1"/>
    <col min="4904" max="4904" width="23.5546875" style="2" customWidth="1"/>
    <col min="4905" max="4905" width="19.33203125" style="2" bestFit="1" customWidth="1"/>
    <col min="4906" max="4906" width="30.88671875" style="2" bestFit="1" customWidth="1"/>
    <col min="4907" max="4907" width="18" style="2" bestFit="1" customWidth="1"/>
    <col min="4908" max="4911" width="9.33203125" style="2" bestFit="1" customWidth="1"/>
    <col min="4912" max="4912" width="9.5546875" style="2" bestFit="1" customWidth="1"/>
    <col min="4913" max="4913" width="9.33203125" style="2" bestFit="1" customWidth="1"/>
    <col min="4914" max="4922" width="7.6640625" style="2" customWidth="1"/>
    <col min="4923" max="4923" width="9.5546875" style="2" bestFit="1" customWidth="1"/>
    <col min="4924" max="4938" width="7.6640625" style="2" customWidth="1"/>
    <col min="4939" max="4939" width="46.109375" style="2" customWidth="1"/>
    <col min="4940" max="5157" width="8.88671875" style="2"/>
    <col min="5158" max="5158" width="9.6640625" style="2" customWidth="1"/>
    <col min="5159" max="5159" width="23.5546875" style="2" bestFit="1" customWidth="1"/>
    <col min="5160" max="5160" width="23.5546875" style="2" customWidth="1"/>
    <col min="5161" max="5161" width="19.33203125" style="2" bestFit="1" customWidth="1"/>
    <col min="5162" max="5162" width="30.88671875" style="2" bestFit="1" customWidth="1"/>
    <col min="5163" max="5163" width="18" style="2" bestFit="1" customWidth="1"/>
    <col min="5164" max="5167" width="9.33203125" style="2" bestFit="1" customWidth="1"/>
    <col min="5168" max="5168" width="9.5546875" style="2" bestFit="1" customWidth="1"/>
    <col min="5169" max="5169" width="9.33203125" style="2" bestFit="1" customWidth="1"/>
    <col min="5170" max="5178" width="7.6640625" style="2" customWidth="1"/>
    <col min="5179" max="5179" width="9.5546875" style="2" bestFit="1" customWidth="1"/>
    <col min="5180" max="5194" width="7.6640625" style="2" customWidth="1"/>
    <col min="5195" max="5195" width="46.109375" style="2" customWidth="1"/>
    <col min="5196" max="5413" width="8.88671875" style="2"/>
    <col min="5414" max="5414" width="9.6640625" style="2" customWidth="1"/>
    <col min="5415" max="5415" width="23.5546875" style="2" bestFit="1" customWidth="1"/>
    <col min="5416" max="5416" width="23.5546875" style="2" customWidth="1"/>
    <col min="5417" max="5417" width="19.33203125" style="2" bestFit="1" customWidth="1"/>
    <col min="5418" max="5418" width="30.88671875" style="2" bestFit="1" customWidth="1"/>
    <col min="5419" max="5419" width="18" style="2" bestFit="1" customWidth="1"/>
    <col min="5420" max="5423" width="9.33203125" style="2" bestFit="1" customWidth="1"/>
    <col min="5424" max="5424" width="9.5546875" style="2" bestFit="1" customWidth="1"/>
    <col min="5425" max="5425" width="9.33203125" style="2" bestFit="1" customWidth="1"/>
    <col min="5426" max="5434" width="7.6640625" style="2" customWidth="1"/>
    <col min="5435" max="5435" width="9.5546875" style="2" bestFit="1" customWidth="1"/>
    <col min="5436" max="5450" width="7.6640625" style="2" customWidth="1"/>
    <col min="5451" max="5451" width="46.109375" style="2" customWidth="1"/>
    <col min="5452" max="5669" width="8.88671875" style="2"/>
    <col min="5670" max="5670" width="9.6640625" style="2" customWidth="1"/>
    <col min="5671" max="5671" width="23.5546875" style="2" bestFit="1" customWidth="1"/>
    <col min="5672" max="5672" width="23.5546875" style="2" customWidth="1"/>
    <col min="5673" max="5673" width="19.33203125" style="2" bestFit="1" customWidth="1"/>
    <col min="5674" max="5674" width="30.88671875" style="2" bestFit="1" customWidth="1"/>
    <col min="5675" max="5675" width="18" style="2" bestFit="1" customWidth="1"/>
    <col min="5676" max="5679" width="9.33203125" style="2" bestFit="1" customWidth="1"/>
    <col min="5680" max="5680" width="9.5546875" style="2" bestFit="1" customWidth="1"/>
    <col min="5681" max="5681" width="9.33203125" style="2" bestFit="1" customWidth="1"/>
    <col min="5682" max="5690" width="7.6640625" style="2" customWidth="1"/>
    <col min="5691" max="5691" width="9.5546875" style="2" bestFit="1" customWidth="1"/>
    <col min="5692" max="5706" width="7.6640625" style="2" customWidth="1"/>
    <col min="5707" max="5707" width="46.109375" style="2" customWidth="1"/>
    <col min="5708" max="5925" width="8.88671875" style="2"/>
    <col min="5926" max="5926" width="9.6640625" style="2" customWidth="1"/>
    <col min="5927" max="5927" width="23.5546875" style="2" bestFit="1" customWidth="1"/>
    <col min="5928" max="5928" width="23.5546875" style="2" customWidth="1"/>
    <col min="5929" max="5929" width="19.33203125" style="2" bestFit="1" customWidth="1"/>
    <col min="5930" max="5930" width="30.88671875" style="2" bestFit="1" customWidth="1"/>
    <col min="5931" max="5931" width="18" style="2" bestFit="1" customWidth="1"/>
    <col min="5932" max="5935" width="9.33203125" style="2" bestFit="1" customWidth="1"/>
    <col min="5936" max="5936" width="9.5546875" style="2" bestFit="1" customWidth="1"/>
    <col min="5937" max="5937" width="9.33203125" style="2" bestFit="1" customWidth="1"/>
    <col min="5938" max="5946" width="7.6640625" style="2" customWidth="1"/>
    <col min="5947" max="5947" width="9.5546875" style="2" bestFit="1" customWidth="1"/>
    <col min="5948" max="5962" width="7.6640625" style="2" customWidth="1"/>
    <col min="5963" max="5963" width="46.109375" style="2" customWidth="1"/>
    <col min="5964" max="6181" width="8.88671875" style="2"/>
    <col min="6182" max="6182" width="9.6640625" style="2" customWidth="1"/>
    <col min="6183" max="6183" width="23.5546875" style="2" bestFit="1" customWidth="1"/>
    <col min="6184" max="6184" width="23.5546875" style="2" customWidth="1"/>
    <col min="6185" max="6185" width="19.33203125" style="2" bestFit="1" customWidth="1"/>
    <col min="6186" max="6186" width="30.88671875" style="2" bestFit="1" customWidth="1"/>
    <col min="6187" max="6187" width="18" style="2" bestFit="1" customWidth="1"/>
    <col min="6188" max="6191" width="9.33203125" style="2" bestFit="1" customWidth="1"/>
    <col min="6192" max="6192" width="9.5546875" style="2" bestFit="1" customWidth="1"/>
    <col min="6193" max="6193" width="9.33203125" style="2" bestFit="1" customWidth="1"/>
    <col min="6194" max="6202" width="7.6640625" style="2" customWidth="1"/>
    <col min="6203" max="6203" width="9.5546875" style="2" bestFit="1" customWidth="1"/>
    <col min="6204" max="6218" width="7.6640625" style="2" customWidth="1"/>
    <col min="6219" max="6219" width="46.109375" style="2" customWidth="1"/>
    <col min="6220" max="6437" width="8.88671875" style="2"/>
    <col min="6438" max="6438" width="9.6640625" style="2" customWidth="1"/>
    <col min="6439" max="6439" width="23.5546875" style="2" bestFit="1" customWidth="1"/>
    <col min="6440" max="6440" width="23.5546875" style="2" customWidth="1"/>
    <col min="6441" max="6441" width="19.33203125" style="2" bestFit="1" customWidth="1"/>
    <col min="6442" max="6442" width="30.88671875" style="2" bestFit="1" customWidth="1"/>
    <col min="6443" max="6443" width="18" style="2" bestFit="1" customWidth="1"/>
    <col min="6444" max="6447" width="9.33203125" style="2" bestFit="1" customWidth="1"/>
    <col min="6448" max="6448" width="9.5546875" style="2" bestFit="1" customWidth="1"/>
    <col min="6449" max="6449" width="9.33203125" style="2" bestFit="1" customWidth="1"/>
    <col min="6450" max="6458" width="7.6640625" style="2" customWidth="1"/>
    <col min="6459" max="6459" width="9.5546875" style="2" bestFit="1" customWidth="1"/>
    <col min="6460" max="6474" width="7.6640625" style="2" customWidth="1"/>
    <col min="6475" max="6475" width="46.109375" style="2" customWidth="1"/>
    <col min="6476" max="6693" width="8.88671875" style="2"/>
    <col min="6694" max="6694" width="9.6640625" style="2" customWidth="1"/>
    <col min="6695" max="6695" width="23.5546875" style="2" bestFit="1" customWidth="1"/>
    <col min="6696" max="6696" width="23.5546875" style="2" customWidth="1"/>
    <col min="6697" max="6697" width="19.33203125" style="2" bestFit="1" customWidth="1"/>
    <col min="6698" max="6698" width="30.88671875" style="2" bestFit="1" customWidth="1"/>
    <col min="6699" max="6699" width="18" style="2" bestFit="1" customWidth="1"/>
    <col min="6700" max="6703" width="9.33203125" style="2" bestFit="1" customWidth="1"/>
    <col min="6704" max="6704" width="9.5546875" style="2" bestFit="1" customWidth="1"/>
    <col min="6705" max="6705" width="9.33203125" style="2" bestFit="1" customWidth="1"/>
    <col min="6706" max="6714" width="7.6640625" style="2" customWidth="1"/>
    <col min="6715" max="6715" width="9.5546875" style="2" bestFit="1" customWidth="1"/>
    <col min="6716" max="6730" width="7.6640625" style="2" customWidth="1"/>
    <col min="6731" max="6731" width="46.109375" style="2" customWidth="1"/>
    <col min="6732" max="6949" width="8.88671875" style="2"/>
    <col min="6950" max="6950" width="9.6640625" style="2" customWidth="1"/>
    <col min="6951" max="6951" width="23.5546875" style="2" bestFit="1" customWidth="1"/>
    <col min="6952" max="6952" width="23.5546875" style="2" customWidth="1"/>
    <col min="6953" max="6953" width="19.33203125" style="2" bestFit="1" customWidth="1"/>
    <col min="6954" max="6954" width="30.88671875" style="2" bestFit="1" customWidth="1"/>
    <col min="6955" max="6955" width="18" style="2" bestFit="1" customWidth="1"/>
    <col min="6956" max="6959" width="9.33203125" style="2" bestFit="1" customWidth="1"/>
    <col min="6960" max="6960" width="9.5546875" style="2" bestFit="1" customWidth="1"/>
    <col min="6961" max="6961" width="9.33203125" style="2" bestFit="1" customWidth="1"/>
    <col min="6962" max="6970" width="7.6640625" style="2" customWidth="1"/>
    <col min="6971" max="6971" width="9.5546875" style="2" bestFit="1" customWidth="1"/>
    <col min="6972" max="6986" width="7.6640625" style="2" customWidth="1"/>
    <col min="6987" max="6987" width="46.109375" style="2" customWidth="1"/>
    <col min="6988" max="7205" width="8.88671875" style="2"/>
    <col min="7206" max="7206" width="9.6640625" style="2" customWidth="1"/>
    <col min="7207" max="7207" width="23.5546875" style="2" bestFit="1" customWidth="1"/>
    <col min="7208" max="7208" width="23.5546875" style="2" customWidth="1"/>
    <col min="7209" max="7209" width="19.33203125" style="2" bestFit="1" customWidth="1"/>
    <col min="7210" max="7210" width="30.88671875" style="2" bestFit="1" customWidth="1"/>
    <col min="7211" max="7211" width="18" style="2" bestFit="1" customWidth="1"/>
    <col min="7212" max="7215" width="9.33203125" style="2" bestFit="1" customWidth="1"/>
    <col min="7216" max="7216" width="9.5546875" style="2" bestFit="1" customWidth="1"/>
    <col min="7217" max="7217" width="9.33203125" style="2" bestFit="1" customWidth="1"/>
    <col min="7218" max="7226" width="7.6640625" style="2" customWidth="1"/>
    <col min="7227" max="7227" width="9.5546875" style="2" bestFit="1" customWidth="1"/>
    <col min="7228" max="7242" width="7.6640625" style="2" customWidth="1"/>
    <col min="7243" max="7243" width="46.109375" style="2" customWidth="1"/>
    <col min="7244" max="7461" width="8.88671875" style="2"/>
    <col min="7462" max="7462" width="9.6640625" style="2" customWidth="1"/>
    <col min="7463" max="7463" width="23.5546875" style="2" bestFit="1" customWidth="1"/>
    <col min="7464" max="7464" width="23.5546875" style="2" customWidth="1"/>
    <col min="7465" max="7465" width="19.33203125" style="2" bestFit="1" customWidth="1"/>
    <col min="7466" max="7466" width="30.88671875" style="2" bestFit="1" customWidth="1"/>
    <col min="7467" max="7467" width="18" style="2" bestFit="1" customWidth="1"/>
    <col min="7468" max="7471" width="9.33203125" style="2" bestFit="1" customWidth="1"/>
    <col min="7472" max="7472" width="9.5546875" style="2" bestFit="1" customWidth="1"/>
    <col min="7473" max="7473" width="9.33203125" style="2" bestFit="1" customWidth="1"/>
    <col min="7474" max="7482" width="7.6640625" style="2" customWidth="1"/>
    <col min="7483" max="7483" width="9.5546875" style="2" bestFit="1" customWidth="1"/>
    <col min="7484" max="7498" width="7.6640625" style="2" customWidth="1"/>
    <col min="7499" max="7499" width="46.109375" style="2" customWidth="1"/>
    <col min="7500" max="7717" width="8.88671875" style="2"/>
    <col min="7718" max="7718" width="9.6640625" style="2" customWidth="1"/>
    <col min="7719" max="7719" width="23.5546875" style="2" bestFit="1" customWidth="1"/>
    <col min="7720" max="7720" width="23.5546875" style="2" customWidth="1"/>
    <col min="7721" max="7721" width="19.33203125" style="2" bestFit="1" customWidth="1"/>
    <col min="7722" max="7722" width="30.88671875" style="2" bestFit="1" customWidth="1"/>
    <col min="7723" max="7723" width="18" style="2" bestFit="1" customWidth="1"/>
    <col min="7724" max="7727" width="9.33203125" style="2" bestFit="1" customWidth="1"/>
    <col min="7728" max="7728" width="9.5546875" style="2" bestFit="1" customWidth="1"/>
    <col min="7729" max="7729" width="9.33203125" style="2" bestFit="1" customWidth="1"/>
    <col min="7730" max="7738" width="7.6640625" style="2" customWidth="1"/>
    <col min="7739" max="7739" width="9.5546875" style="2" bestFit="1" customWidth="1"/>
    <col min="7740" max="7754" width="7.6640625" style="2" customWidth="1"/>
    <col min="7755" max="7755" width="46.109375" style="2" customWidth="1"/>
    <col min="7756" max="7973" width="8.88671875" style="2"/>
    <col min="7974" max="7974" width="9.6640625" style="2" customWidth="1"/>
    <col min="7975" max="7975" width="23.5546875" style="2" bestFit="1" customWidth="1"/>
    <col min="7976" max="7976" width="23.5546875" style="2" customWidth="1"/>
    <col min="7977" max="7977" width="19.33203125" style="2" bestFit="1" customWidth="1"/>
    <col min="7978" max="7978" width="30.88671875" style="2" bestFit="1" customWidth="1"/>
    <col min="7979" max="7979" width="18" style="2" bestFit="1" customWidth="1"/>
    <col min="7980" max="7983" width="9.33203125" style="2" bestFit="1" customWidth="1"/>
    <col min="7984" max="7984" width="9.5546875" style="2" bestFit="1" customWidth="1"/>
    <col min="7985" max="7985" width="9.33203125" style="2" bestFit="1" customWidth="1"/>
    <col min="7986" max="7994" width="7.6640625" style="2" customWidth="1"/>
    <col min="7995" max="7995" width="9.5546875" style="2" bestFit="1" customWidth="1"/>
    <col min="7996" max="8010" width="7.6640625" style="2" customWidth="1"/>
    <col min="8011" max="8011" width="46.109375" style="2" customWidth="1"/>
    <col min="8012" max="8229" width="8.88671875" style="2"/>
    <col min="8230" max="8230" width="9.6640625" style="2" customWidth="1"/>
    <col min="8231" max="8231" width="23.5546875" style="2" bestFit="1" customWidth="1"/>
    <col min="8232" max="8232" width="23.5546875" style="2" customWidth="1"/>
    <col min="8233" max="8233" width="19.33203125" style="2" bestFit="1" customWidth="1"/>
    <col min="8234" max="8234" width="30.88671875" style="2" bestFit="1" customWidth="1"/>
    <col min="8235" max="8235" width="18" style="2" bestFit="1" customWidth="1"/>
    <col min="8236" max="8239" width="9.33203125" style="2" bestFit="1" customWidth="1"/>
    <col min="8240" max="8240" width="9.5546875" style="2" bestFit="1" customWidth="1"/>
    <col min="8241" max="8241" width="9.33203125" style="2" bestFit="1" customWidth="1"/>
    <col min="8242" max="8250" width="7.6640625" style="2" customWidth="1"/>
    <col min="8251" max="8251" width="9.5546875" style="2" bestFit="1" customWidth="1"/>
    <col min="8252" max="8266" width="7.6640625" style="2" customWidth="1"/>
    <col min="8267" max="8267" width="46.109375" style="2" customWidth="1"/>
    <col min="8268" max="8485" width="8.88671875" style="2"/>
    <col min="8486" max="8486" width="9.6640625" style="2" customWidth="1"/>
    <col min="8487" max="8487" width="23.5546875" style="2" bestFit="1" customWidth="1"/>
    <col min="8488" max="8488" width="23.5546875" style="2" customWidth="1"/>
    <col min="8489" max="8489" width="19.33203125" style="2" bestFit="1" customWidth="1"/>
    <col min="8490" max="8490" width="30.88671875" style="2" bestFit="1" customWidth="1"/>
    <col min="8491" max="8491" width="18" style="2" bestFit="1" customWidth="1"/>
    <col min="8492" max="8495" width="9.33203125" style="2" bestFit="1" customWidth="1"/>
    <col min="8496" max="8496" width="9.5546875" style="2" bestFit="1" customWidth="1"/>
    <col min="8497" max="8497" width="9.33203125" style="2" bestFit="1" customWidth="1"/>
    <col min="8498" max="8506" width="7.6640625" style="2" customWidth="1"/>
    <col min="8507" max="8507" width="9.5546875" style="2" bestFit="1" customWidth="1"/>
    <col min="8508" max="8522" width="7.6640625" style="2" customWidth="1"/>
    <col min="8523" max="8523" width="46.109375" style="2" customWidth="1"/>
    <col min="8524" max="8741" width="8.88671875" style="2"/>
    <col min="8742" max="8742" width="9.6640625" style="2" customWidth="1"/>
    <col min="8743" max="8743" width="23.5546875" style="2" bestFit="1" customWidth="1"/>
    <col min="8744" max="8744" width="23.5546875" style="2" customWidth="1"/>
    <col min="8745" max="8745" width="19.33203125" style="2" bestFit="1" customWidth="1"/>
    <col min="8746" max="8746" width="30.88671875" style="2" bestFit="1" customWidth="1"/>
    <col min="8747" max="8747" width="18" style="2" bestFit="1" customWidth="1"/>
    <col min="8748" max="8751" width="9.33203125" style="2" bestFit="1" customWidth="1"/>
    <col min="8752" max="8752" width="9.5546875" style="2" bestFit="1" customWidth="1"/>
    <col min="8753" max="8753" width="9.33203125" style="2" bestFit="1" customWidth="1"/>
    <col min="8754" max="8762" width="7.6640625" style="2" customWidth="1"/>
    <col min="8763" max="8763" width="9.5546875" style="2" bestFit="1" customWidth="1"/>
    <col min="8764" max="8778" width="7.6640625" style="2" customWidth="1"/>
    <col min="8779" max="8779" width="46.109375" style="2" customWidth="1"/>
    <col min="8780" max="8997" width="8.88671875" style="2"/>
    <col min="8998" max="8998" width="9.6640625" style="2" customWidth="1"/>
    <col min="8999" max="8999" width="23.5546875" style="2" bestFit="1" customWidth="1"/>
    <col min="9000" max="9000" width="23.5546875" style="2" customWidth="1"/>
    <col min="9001" max="9001" width="19.33203125" style="2" bestFit="1" customWidth="1"/>
    <col min="9002" max="9002" width="30.88671875" style="2" bestFit="1" customWidth="1"/>
    <col min="9003" max="9003" width="18" style="2" bestFit="1" customWidth="1"/>
    <col min="9004" max="9007" width="9.33203125" style="2" bestFit="1" customWidth="1"/>
    <col min="9008" max="9008" width="9.5546875" style="2" bestFit="1" customWidth="1"/>
    <col min="9009" max="9009" width="9.33203125" style="2" bestFit="1" customWidth="1"/>
    <col min="9010" max="9018" width="7.6640625" style="2" customWidth="1"/>
    <col min="9019" max="9019" width="9.5546875" style="2" bestFit="1" customWidth="1"/>
    <col min="9020" max="9034" width="7.6640625" style="2" customWidth="1"/>
    <col min="9035" max="9035" width="46.109375" style="2" customWidth="1"/>
    <col min="9036" max="9253" width="8.88671875" style="2"/>
    <col min="9254" max="9254" width="9.6640625" style="2" customWidth="1"/>
    <col min="9255" max="9255" width="23.5546875" style="2" bestFit="1" customWidth="1"/>
    <col min="9256" max="9256" width="23.5546875" style="2" customWidth="1"/>
    <col min="9257" max="9257" width="19.33203125" style="2" bestFit="1" customWidth="1"/>
    <col min="9258" max="9258" width="30.88671875" style="2" bestFit="1" customWidth="1"/>
    <col min="9259" max="9259" width="18" style="2" bestFit="1" customWidth="1"/>
    <col min="9260" max="9263" width="9.33203125" style="2" bestFit="1" customWidth="1"/>
    <col min="9264" max="9264" width="9.5546875" style="2" bestFit="1" customWidth="1"/>
    <col min="9265" max="9265" width="9.33203125" style="2" bestFit="1" customWidth="1"/>
    <col min="9266" max="9274" width="7.6640625" style="2" customWidth="1"/>
    <col min="9275" max="9275" width="9.5546875" style="2" bestFit="1" customWidth="1"/>
    <col min="9276" max="9290" width="7.6640625" style="2" customWidth="1"/>
    <col min="9291" max="9291" width="46.109375" style="2" customWidth="1"/>
    <col min="9292" max="9509" width="8.88671875" style="2"/>
    <col min="9510" max="9510" width="9.6640625" style="2" customWidth="1"/>
    <col min="9511" max="9511" width="23.5546875" style="2" bestFit="1" customWidth="1"/>
    <col min="9512" max="9512" width="23.5546875" style="2" customWidth="1"/>
    <col min="9513" max="9513" width="19.33203125" style="2" bestFit="1" customWidth="1"/>
    <col min="9514" max="9514" width="30.88671875" style="2" bestFit="1" customWidth="1"/>
    <col min="9515" max="9515" width="18" style="2" bestFit="1" customWidth="1"/>
    <col min="9516" max="9519" width="9.33203125" style="2" bestFit="1" customWidth="1"/>
    <col min="9520" max="9520" width="9.5546875" style="2" bestFit="1" customWidth="1"/>
    <col min="9521" max="9521" width="9.33203125" style="2" bestFit="1" customWidth="1"/>
    <col min="9522" max="9530" width="7.6640625" style="2" customWidth="1"/>
    <col min="9531" max="9531" width="9.5546875" style="2" bestFit="1" customWidth="1"/>
    <col min="9532" max="9546" width="7.6640625" style="2" customWidth="1"/>
    <col min="9547" max="9547" width="46.109375" style="2" customWidth="1"/>
    <col min="9548" max="9765" width="8.88671875" style="2"/>
    <col min="9766" max="9766" width="9.6640625" style="2" customWidth="1"/>
    <col min="9767" max="9767" width="23.5546875" style="2" bestFit="1" customWidth="1"/>
    <col min="9768" max="9768" width="23.5546875" style="2" customWidth="1"/>
    <col min="9769" max="9769" width="19.33203125" style="2" bestFit="1" customWidth="1"/>
    <col min="9770" max="9770" width="30.88671875" style="2" bestFit="1" customWidth="1"/>
    <col min="9771" max="9771" width="18" style="2" bestFit="1" customWidth="1"/>
    <col min="9772" max="9775" width="9.33203125" style="2" bestFit="1" customWidth="1"/>
    <col min="9776" max="9776" width="9.5546875" style="2" bestFit="1" customWidth="1"/>
    <col min="9777" max="9777" width="9.33203125" style="2" bestFit="1" customWidth="1"/>
    <col min="9778" max="9786" width="7.6640625" style="2" customWidth="1"/>
    <col min="9787" max="9787" width="9.5546875" style="2" bestFit="1" customWidth="1"/>
    <col min="9788" max="9802" width="7.6640625" style="2" customWidth="1"/>
    <col min="9803" max="9803" width="46.109375" style="2" customWidth="1"/>
    <col min="9804" max="10021" width="8.88671875" style="2"/>
    <col min="10022" max="10022" width="9.6640625" style="2" customWidth="1"/>
    <col min="10023" max="10023" width="23.5546875" style="2" bestFit="1" customWidth="1"/>
    <col min="10024" max="10024" width="23.5546875" style="2" customWidth="1"/>
    <col min="10025" max="10025" width="19.33203125" style="2" bestFit="1" customWidth="1"/>
    <col min="10026" max="10026" width="30.88671875" style="2" bestFit="1" customWidth="1"/>
    <col min="10027" max="10027" width="18" style="2" bestFit="1" customWidth="1"/>
    <col min="10028" max="10031" width="9.33203125" style="2" bestFit="1" customWidth="1"/>
    <col min="10032" max="10032" width="9.5546875" style="2" bestFit="1" customWidth="1"/>
    <col min="10033" max="10033" width="9.33203125" style="2" bestFit="1" customWidth="1"/>
    <col min="10034" max="10042" width="7.6640625" style="2" customWidth="1"/>
    <col min="10043" max="10043" width="9.5546875" style="2" bestFit="1" customWidth="1"/>
    <col min="10044" max="10058" width="7.6640625" style="2" customWidth="1"/>
    <col min="10059" max="10059" width="46.109375" style="2" customWidth="1"/>
    <col min="10060" max="10277" width="8.88671875" style="2"/>
    <col min="10278" max="10278" width="9.6640625" style="2" customWidth="1"/>
    <col min="10279" max="10279" width="23.5546875" style="2" bestFit="1" customWidth="1"/>
    <col min="10280" max="10280" width="23.5546875" style="2" customWidth="1"/>
    <col min="10281" max="10281" width="19.33203125" style="2" bestFit="1" customWidth="1"/>
    <col min="10282" max="10282" width="30.88671875" style="2" bestFit="1" customWidth="1"/>
    <col min="10283" max="10283" width="18" style="2" bestFit="1" customWidth="1"/>
    <col min="10284" max="10287" width="9.33203125" style="2" bestFit="1" customWidth="1"/>
    <col min="10288" max="10288" width="9.5546875" style="2" bestFit="1" customWidth="1"/>
    <col min="10289" max="10289" width="9.33203125" style="2" bestFit="1" customWidth="1"/>
    <col min="10290" max="10298" width="7.6640625" style="2" customWidth="1"/>
    <col min="10299" max="10299" width="9.5546875" style="2" bestFit="1" customWidth="1"/>
    <col min="10300" max="10314" width="7.6640625" style="2" customWidth="1"/>
    <col min="10315" max="10315" width="46.109375" style="2" customWidth="1"/>
    <col min="10316" max="10533" width="8.88671875" style="2"/>
    <col min="10534" max="10534" width="9.6640625" style="2" customWidth="1"/>
    <col min="10535" max="10535" width="23.5546875" style="2" bestFit="1" customWidth="1"/>
    <col min="10536" max="10536" width="23.5546875" style="2" customWidth="1"/>
    <col min="10537" max="10537" width="19.33203125" style="2" bestFit="1" customWidth="1"/>
    <col min="10538" max="10538" width="30.88671875" style="2" bestFit="1" customWidth="1"/>
    <col min="10539" max="10539" width="18" style="2" bestFit="1" customWidth="1"/>
    <col min="10540" max="10543" width="9.33203125" style="2" bestFit="1" customWidth="1"/>
    <col min="10544" max="10544" width="9.5546875" style="2" bestFit="1" customWidth="1"/>
    <col min="10545" max="10545" width="9.33203125" style="2" bestFit="1" customWidth="1"/>
    <col min="10546" max="10554" width="7.6640625" style="2" customWidth="1"/>
    <col min="10555" max="10555" width="9.5546875" style="2" bestFit="1" customWidth="1"/>
    <col min="10556" max="10570" width="7.6640625" style="2" customWidth="1"/>
    <col min="10571" max="10571" width="46.109375" style="2" customWidth="1"/>
    <col min="10572" max="10789" width="8.88671875" style="2"/>
    <col min="10790" max="10790" width="9.6640625" style="2" customWidth="1"/>
    <col min="10791" max="10791" width="23.5546875" style="2" bestFit="1" customWidth="1"/>
    <col min="10792" max="10792" width="23.5546875" style="2" customWidth="1"/>
    <col min="10793" max="10793" width="19.33203125" style="2" bestFit="1" customWidth="1"/>
    <col min="10794" max="10794" width="30.88671875" style="2" bestFit="1" customWidth="1"/>
    <col min="10795" max="10795" width="18" style="2" bestFit="1" customWidth="1"/>
    <col min="10796" max="10799" width="9.33203125" style="2" bestFit="1" customWidth="1"/>
    <col min="10800" max="10800" width="9.5546875" style="2" bestFit="1" customWidth="1"/>
    <col min="10801" max="10801" width="9.33203125" style="2" bestFit="1" customWidth="1"/>
    <col min="10802" max="10810" width="7.6640625" style="2" customWidth="1"/>
    <col min="10811" max="10811" width="9.5546875" style="2" bestFit="1" customWidth="1"/>
    <col min="10812" max="10826" width="7.6640625" style="2" customWidth="1"/>
    <col min="10827" max="10827" width="46.109375" style="2" customWidth="1"/>
    <col min="10828" max="11045" width="8.88671875" style="2"/>
    <col min="11046" max="11046" width="9.6640625" style="2" customWidth="1"/>
    <col min="11047" max="11047" width="23.5546875" style="2" bestFit="1" customWidth="1"/>
    <col min="11048" max="11048" width="23.5546875" style="2" customWidth="1"/>
    <col min="11049" max="11049" width="19.33203125" style="2" bestFit="1" customWidth="1"/>
    <col min="11050" max="11050" width="30.88671875" style="2" bestFit="1" customWidth="1"/>
    <col min="11051" max="11051" width="18" style="2" bestFit="1" customWidth="1"/>
    <col min="11052" max="11055" width="9.33203125" style="2" bestFit="1" customWidth="1"/>
    <col min="11056" max="11056" width="9.5546875" style="2" bestFit="1" customWidth="1"/>
    <col min="11057" max="11057" width="9.33203125" style="2" bestFit="1" customWidth="1"/>
    <col min="11058" max="11066" width="7.6640625" style="2" customWidth="1"/>
    <col min="11067" max="11067" width="9.5546875" style="2" bestFit="1" customWidth="1"/>
    <col min="11068" max="11082" width="7.6640625" style="2" customWidth="1"/>
    <col min="11083" max="11083" width="46.109375" style="2" customWidth="1"/>
    <col min="11084" max="11301" width="8.88671875" style="2"/>
    <col min="11302" max="11302" width="9.6640625" style="2" customWidth="1"/>
    <col min="11303" max="11303" width="23.5546875" style="2" bestFit="1" customWidth="1"/>
    <col min="11304" max="11304" width="23.5546875" style="2" customWidth="1"/>
    <col min="11305" max="11305" width="19.33203125" style="2" bestFit="1" customWidth="1"/>
    <col min="11306" max="11306" width="30.88671875" style="2" bestFit="1" customWidth="1"/>
    <col min="11307" max="11307" width="18" style="2" bestFit="1" customWidth="1"/>
    <col min="11308" max="11311" width="9.33203125" style="2" bestFit="1" customWidth="1"/>
    <col min="11312" max="11312" width="9.5546875" style="2" bestFit="1" customWidth="1"/>
    <col min="11313" max="11313" width="9.33203125" style="2" bestFit="1" customWidth="1"/>
    <col min="11314" max="11322" width="7.6640625" style="2" customWidth="1"/>
    <col min="11323" max="11323" width="9.5546875" style="2" bestFit="1" customWidth="1"/>
    <col min="11324" max="11338" width="7.6640625" style="2" customWidth="1"/>
    <col min="11339" max="11339" width="46.109375" style="2" customWidth="1"/>
    <col min="11340" max="11557" width="8.88671875" style="2"/>
    <col min="11558" max="11558" width="9.6640625" style="2" customWidth="1"/>
    <col min="11559" max="11559" width="23.5546875" style="2" bestFit="1" customWidth="1"/>
    <col min="11560" max="11560" width="23.5546875" style="2" customWidth="1"/>
    <col min="11561" max="11561" width="19.33203125" style="2" bestFit="1" customWidth="1"/>
    <col min="11562" max="11562" width="30.88671875" style="2" bestFit="1" customWidth="1"/>
    <col min="11563" max="11563" width="18" style="2" bestFit="1" customWidth="1"/>
    <col min="11564" max="11567" width="9.33203125" style="2" bestFit="1" customWidth="1"/>
    <col min="11568" max="11568" width="9.5546875" style="2" bestFit="1" customWidth="1"/>
    <col min="11569" max="11569" width="9.33203125" style="2" bestFit="1" customWidth="1"/>
    <col min="11570" max="11578" width="7.6640625" style="2" customWidth="1"/>
    <col min="11579" max="11579" width="9.5546875" style="2" bestFit="1" customWidth="1"/>
    <col min="11580" max="11594" width="7.6640625" style="2" customWidth="1"/>
    <col min="11595" max="11595" width="46.109375" style="2" customWidth="1"/>
    <col min="11596" max="11813" width="8.88671875" style="2"/>
    <col min="11814" max="11814" width="9.6640625" style="2" customWidth="1"/>
    <col min="11815" max="11815" width="23.5546875" style="2" bestFit="1" customWidth="1"/>
    <col min="11816" max="11816" width="23.5546875" style="2" customWidth="1"/>
    <col min="11817" max="11817" width="19.33203125" style="2" bestFit="1" customWidth="1"/>
    <col min="11818" max="11818" width="30.88671875" style="2" bestFit="1" customWidth="1"/>
    <col min="11819" max="11819" width="18" style="2" bestFit="1" customWidth="1"/>
    <col min="11820" max="11823" width="9.33203125" style="2" bestFit="1" customWidth="1"/>
    <col min="11824" max="11824" width="9.5546875" style="2" bestFit="1" customWidth="1"/>
    <col min="11825" max="11825" width="9.33203125" style="2" bestFit="1" customWidth="1"/>
    <col min="11826" max="11834" width="7.6640625" style="2" customWidth="1"/>
    <col min="11835" max="11835" width="9.5546875" style="2" bestFit="1" customWidth="1"/>
    <col min="11836" max="11850" width="7.6640625" style="2" customWidth="1"/>
    <col min="11851" max="11851" width="46.109375" style="2" customWidth="1"/>
    <col min="11852" max="12069" width="8.88671875" style="2"/>
    <col min="12070" max="12070" width="9.6640625" style="2" customWidth="1"/>
    <col min="12071" max="12071" width="23.5546875" style="2" bestFit="1" customWidth="1"/>
    <col min="12072" max="12072" width="23.5546875" style="2" customWidth="1"/>
    <col min="12073" max="12073" width="19.33203125" style="2" bestFit="1" customWidth="1"/>
    <col min="12074" max="12074" width="30.88671875" style="2" bestFit="1" customWidth="1"/>
    <col min="12075" max="12075" width="18" style="2" bestFit="1" customWidth="1"/>
    <col min="12076" max="12079" width="9.33203125" style="2" bestFit="1" customWidth="1"/>
    <col min="12080" max="12080" width="9.5546875" style="2" bestFit="1" customWidth="1"/>
    <col min="12081" max="12081" width="9.33203125" style="2" bestFit="1" customWidth="1"/>
    <col min="12082" max="12090" width="7.6640625" style="2" customWidth="1"/>
    <col min="12091" max="12091" width="9.5546875" style="2" bestFit="1" customWidth="1"/>
    <col min="12092" max="12106" width="7.6640625" style="2" customWidth="1"/>
    <col min="12107" max="12107" width="46.109375" style="2" customWidth="1"/>
    <col min="12108" max="12325" width="8.88671875" style="2"/>
    <col min="12326" max="12326" width="9.6640625" style="2" customWidth="1"/>
    <col min="12327" max="12327" width="23.5546875" style="2" bestFit="1" customWidth="1"/>
    <col min="12328" max="12328" width="23.5546875" style="2" customWidth="1"/>
    <col min="12329" max="12329" width="19.33203125" style="2" bestFit="1" customWidth="1"/>
    <col min="12330" max="12330" width="30.88671875" style="2" bestFit="1" customWidth="1"/>
    <col min="12331" max="12331" width="18" style="2" bestFit="1" customWidth="1"/>
    <col min="12332" max="12335" width="9.33203125" style="2" bestFit="1" customWidth="1"/>
    <col min="12336" max="12336" width="9.5546875" style="2" bestFit="1" customWidth="1"/>
    <col min="12337" max="12337" width="9.33203125" style="2" bestFit="1" customWidth="1"/>
    <col min="12338" max="12346" width="7.6640625" style="2" customWidth="1"/>
    <col min="12347" max="12347" width="9.5546875" style="2" bestFit="1" customWidth="1"/>
    <col min="12348" max="12362" width="7.6640625" style="2" customWidth="1"/>
    <col min="12363" max="12363" width="46.109375" style="2" customWidth="1"/>
    <col min="12364" max="12581" width="8.88671875" style="2"/>
    <col min="12582" max="12582" width="9.6640625" style="2" customWidth="1"/>
    <col min="12583" max="12583" width="23.5546875" style="2" bestFit="1" customWidth="1"/>
    <col min="12584" max="12584" width="23.5546875" style="2" customWidth="1"/>
    <col min="12585" max="12585" width="19.33203125" style="2" bestFit="1" customWidth="1"/>
    <col min="12586" max="12586" width="30.88671875" style="2" bestFit="1" customWidth="1"/>
    <col min="12587" max="12587" width="18" style="2" bestFit="1" customWidth="1"/>
    <col min="12588" max="12591" width="9.33203125" style="2" bestFit="1" customWidth="1"/>
    <col min="12592" max="12592" width="9.5546875" style="2" bestFit="1" customWidth="1"/>
    <col min="12593" max="12593" width="9.33203125" style="2" bestFit="1" customWidth="1"/>
    <col min="12594" max="12602" width="7.6640625" style="2" customWidth="1"/>
    <col min="12603" max="12603" width="9.5546875" style="2" bestFit="1" customWidth="1"/>
    <col min="12604" max="12618" width="7.6640625" style="2" customWidth="1"/>
    <col min="12619" max="12619" width="46.109375" style="2" customWidth="1"/>
    <col min="12620" max="12837" width="8.88671875" style="2"/>
    <col min="12838" max="12838" width="9.6640625" style="2" customWidth="1"/>
    <col min="12839" max="12839" width="23.5546875" style="2" bestFit="1" customWidth="1"/>
    <col min="12840" max="12840" width="23.5546875" style="2" customWidth="1"/>
    <col min="12841" max="12841" width="19.33203125" style="2" bestFit="1" customWidth="1"/>
    <col min="12842" max="12842" width="30.88671875" style="2" bestFit="1" customWidth="1"/>
    <col min="12843" max="12843" width="18" style="2" bestFit="1" customWidth="1"/>
    <col min="12844" max="12847" width="9.33203125" style="2" bestFit="1" customWidth="1"/>
    <col min="12848" max="12848" width="9.5546875" style="2" bestFit="1" customWidth="1"/>
    <col min="12849" max="12849" width="9.33203125" style="2" bestFit="1" customWidth="1"/>
    <col min="12850" max="12858" width="7.6640625" style="2" customWidth="1"/>
    <col min="12859" max="12859" width="9.5546875" style="2" bestFit="1" customWidth="1"/>
    <col min="12860" max="12874" width="7.6640625" style="2" customWidth="1"/>
    <col min="12875" max="12875" width="46.109375" style="2" customWidth="1"/>
    <col min="12876" max="13093" width="8.88671875" style="2"/>
    <col min="13094" max="13094" width="9.6640625" style="2" customWidth="1"/>
    <col min="13095" max="13095" width="23.5546875" style="2" bestFit="1" customWidth="1"/>
    <col min="13096" max="13096" width="23.5546875" style="2" customWidth="1"/>
    <col min="13097" max="13097" width="19.33203125" style="2" bestFit="1" customWidth="1"/>
    <col min="13098" max="13098" width="30.88671875" style="2" bestFit="1" customWidth="1"/>
    <col min="13099" max="13099" width="18" style="2" bestFit="1" customWidth="1"/>
    <col min="13100" max="13103" width="9.33203125" style="2" bestFit="1" customWidth="1"/>
    <col min="13104" max="13104" width="9.5546875" style="2" bestFit="1" customWidth="1"/>
    <col min="13105" max="13105" width="9.33203125" style="2" bestFit="1" customWidth="1"/>
    <col min="13106" max="13114" width="7.6640625" style="2" customWidth="1"/>
    <col min="13115" max="13115" width="9.5546875" style="2" bestFit="1" customWidth="1"/>
    <col min="13116" max="13130" width="7.6640625" style="2" customWidth="1"/>
    <col min="13131" max="13131" width="46.109375" style="2" customWidth="1"/>
    <col min="13132" max="13349" width="8.88671875" style="2"/>
    <col min="13350" max="13350" width="9.6640625" style="2" customWidth="1"/>
    <col min="13351" max="13351" width="23.5546875" style="2" bestFit="1" customWidth="1"/>
    <col min="13352" max="13352" width="23.5546875" style="2" customWidth="1"/>
    <col min="13353" max="13353" width="19.33203125" style="2" bestFit="1" customWidth="1"/>
    <col min="13354" max="13354" width="30.88671875" style="2" bestFit="1" customWidth="1"/>
    <col min="13355" max="13355" width="18" style="2" bestFit="1" customWidth="1"/>
    <col min="13356" max="13359" width="9.33203125" style="2" bestFit="1" customWidth="1"/>
    <col min="13360" max="13360" width="9.5546875" style="2" bestFit="1" customWidth="1"/>
    <col min="13361" max="13361" width="9.33203125" style="2" bestFit="1" customWidth="1"/>
    <col min="13362" max="13370" width="7.6640625" style="2" customWidth="1"/>
    <col min="13371" max="13371" width="9.5546875" style="2" bestFit="1" customWidth="1"/>
    <col min="13372" max="13386" width="7.6640625" style="2" customWidth="1"/>
    <col min="13387" max="13387" width="46.109375" style="2" customWidth="1"/>
    <col min="13388" max="13605" width="8.88671875" style="2"/>
    <col min="13606" max="13606" width="9.6640625" style="2" customWidth="1"/>
    <col min="13607" max="13607" width="23.5546875" style="2" bestFit="1" customWidth="1"/>
    <col min="13608" max="13608" width="23.5546875" style="2" customWidth="1"/>
    <col min="13609" max="13609" width="19.33203125" style="2" bestFit="1" customWidth="1"/>
    <col min="13610" max="13610" width="30.88671875" style="2" bestFit="1" customWidth="1"/>
    <col min="13611" max="13611" width="18" style="2" bestFit="1" customWidth="1"/>
    <col min="13612" max="13615" width="9.33203125" style="2" bestFit="1" customWidth="1"/>
    <col min="13616" max="13616" width="9.5546875" style="2" bestFit="1" customWidth="1"/>
    <col min="13617" max="13617" width="9.33203125" style="2" bestFit="1" customWidth="1"/>
    <col min="13618" max="13626" width="7.6640625" style="2" customWidth="1"/>
    <col min="13627" max="13627" width="9.5546875" style="2" bestFit="1" customWidth="1"/>
    <col min="13628" max="13642" width="7.6640625" style="2" customWidth="1"/>
    <col min="13643" max="13643" width="46.109375" style="2" customWidth="1"/>
    <col min="13644" max="13861" width="8.88671875" style="2"/>
    <col min="13862" max="13862" width="9.6640625" style="2" customWidth="1"/>
    <col min="13863" max="13863" width="23.5546875" style="2" bestFit="1" customWidth="1"/>
    <col min="13864" max="13864" width="23.5546875" style="2" customWidth="1"/>
    <col min="13865" max="13865" width="19.33203125" style="2" bestFit="1" customWidth="1"/>
    <col min="13866" max="13866" width="30.88671875" style="2" bestFit="1" customWidth="1"/>
    <col min="13867" max="13867" width="18" style="2" bestFit="1" customWidth="1"/>
    <col min="13868" max="13871" width="9.33203125" style="2" bestFit="1" customWidth="1"/>
    <col min="13872" max="13872" width="9.5546875" style="2" bestFit="1" customWidth="1"/>
    <col min="13873" max="13873" width="9.33203125" style="2" bestFit="1" customWidth="1"/>
    <col min="13874" max="13882" width="7.6640625" style="2" customWidth="1"/>
    <col min="13883" max="13883" width="9.5546875" style="2" bestFit="1" customWidth="1"/>
    <col min="13884" max="13898" width="7.6640625" style="2" customWidth="1"/>
    <col min="13899" max="13899" width="46.109375" style="2" customWidth="1"/>
    <col min="13900" max="14117" width="8.88671875" style="2"/>
    <col min="14118" max="14118" width="9.6640625" style="2" customWidth="1"/>
    <col min="14119" max="14119" width="23.5546875" style="2" bestFit="1" customWidth="1"/>
    <col min="14120" max="14120" width="23.5546875" style="2" customWidth="1"/>
    <col min="14121" max="14121" width="19.33203125" style="2" bestFit="1" customWidth="1"/>
    <col min="14122" max="14122" width="30.88671875" style="2" bestFit="1" customWidth="1"/>
    <col min="14123" max="14123" width="18" style="2" bestFit="1" customWidth="1"/>
    <col min="14124" max="14127" width="9.33203125" style="2" bestFit="1" customWidth="1"/>
    <col min="14128" max="14128" width="9.5546875" style="2" bestFit="1" customWidth="1"/>
    <col min="14129" max="14129" width="9.33203125" style="2" bestFit="1" customWidth="1"/>
    <col min="14130" max="14138" width="7.6640625" style="2" customWidth="1"/>
    <col min="14139" max="14139" width="9.5546875" style="2" bestFit="1" customWidth="1"/>
    <col min="14140" max="14154" width="7.6640625" style="2" customWidth="1"/>
    <col min="14155" max="14155" width="46.109375" style="2" customWidth="1"/>
    <col min="14156" max="14373" width="8.88671875" style="2"/>
    <col min="14374" max="14374" width="9.6640625" style="2" customWidth="1"/>
    <col min="14375" max="14375" width="23.5546875" style="2" bestFit="1" customWidth="1"/>
    <col min="14376" max="14376" width="23.5546875" style="2" customWidth="1"/>
    <col min="14377" max="14377" width="19.33203125" style="2" bestFit="1" customWidth="1"/>
    <col min="14378" max="14378" width="30.88671875" style="2" bestFit="1" customWidth="1"/>
    <col min="14379" max="14379" width="18" style="2" bestFit="1" customWidth="1"/>
    <col min="14380" max="14383" width="9.33203125" style="2" bestFit="1" customWidth="1"/>
    <col min="14384" max="14384" width="9.5546875" style="2" bestFit="1" customWidth="1"/>
    <col min="14385" max="14385" width="9.33203125" style="2" bestFit="1" customWidth="1"/>
    <col min="14386" max="14394" width="7.6640625" style="2" customWidth="1"/>
    <col min="14395" max="14395" width="9.5546875" style="2" bestFit="1" customWidth="1"/>
    <col min="14396" max="14410" width="7.6640625" style="2" customWidth="1"/>
    <col min="14411" max="14411" width="46.109375" style="2" customWidth="1"/>
    <col min="14412" max="14629" width="8.88671875" style="2"/>
    <col min="14630" max="14630" width="9.6640625" style="2" customWidth="1"/>
    <col min="14631" max="14631" width="23.5546875" style="2" bestFit="1" customWidth="1"/>
    <col min="14632" max="14632" width="23.5546875" style="2" customWidth="1"/>
    <col min="14633" max="14633" width="19.33203125" style="2" bestFit="1" customWidth="1"/>
    <col min="14634" max="14634" width="30.88671875" style="2" bestFit="1" customWidth="1"/>
    <col min="14635" max="14635" width="18" style="2" bestFit="1" customWidth="1"/>
    <col min="14636" max="14639" width="9.33203125" style="2" bestFit="1" customWidth="1"/>
    <col min="14640" max="14640" width="9.5546875" style="2" bestFit="1" customWidth="1"/>
    <col min="14641" max="14641" width="9.33203125" style="2" bestFit="1" customWidth="1"/>
    <col min="14642" max="14650" width="7.6640625" style="2" customWidth="1"/>
    <col min="14651" max="14651" width="9.5546875" style="2" bestFit="1" customWidth="1"/>
    <col min="14652" max="14666" width="7.6640625" style="2" customWidth="1"/>
    <col min="14667" max="14667" width="46.109375" style="2" customWidth="1"/>
    <col min="14668" max="14885" width="8.88671875" style="2"/>
    <col min="14886" max="14886" width="9.6640625" style="2" customWidth="1"/>
    <col min="14887" max="14887" width="23.5546875" style="2" bestFit="1" customWidth="1"/>
    <col min="14888" max="14888" width="23.5546875" style="2" customWidth="1"/>
    <col min="14889" max="14889" width="19.33203125" style="2" bestFit="1" customWidth="1"/>
    <col min="14890" max="14890" width="30.88671875" style="2" bestFit="1" customWidth="1"/>
    <col min="14891" max="14891" width="18" style="2" bestFit="1" customWidth="1"/>
    <col min="14892" max="14895" width="9.33203125" style="2" bestFit="1" customWidth="1"/>
    <col min="14896" max="14896" width="9.5546875" style="2" bestFit="1" customWidth="1"/>
    <col min="14897" max="14897" width="9.33203125" style="2" bestFit="1" customWidth="1"/>
    <col min="14898" max="14906" width="7.6640625" style="2" customWidth="1"/>
    <col min="14907" max="14907" width="9.5546875" style="2" bestFit="1" customWidth="1"/>
    <col min="14908" max="14922" width="7.6640625" style="2" customWidth="1"/>
    <col min="14923" max="14923" width="46.109375" style="2" customWidth="1"/>
    <col min="14924" max="15141" width="8.88671875" style="2"/>
    <col min="15142" max="15142" width="9.6640625" style="2" customWidth="1"/>
    <col min="15143" max="15143" width="23.5546875" style="2" bestFit="1" customWidth="1"/>
    <col min="15144" max="15144" width="23.5546875" style="2" customWidth="1"/>
    <col min="15145" max="15145" width="19.33203125" style="2" bestFit="1" customWidth="1"/>
    <col min="15146" max="15146" width="30.88671875" style="2" bestFit="1" customWidth="1"/>
    <col min="15147" max="15147" width="18" style="2" bestFit="1" customWidth="1"/>
    <col min="15148" max="15151" width="9.33203125" style="2" bestFit="1" customWidth="1"/>
    <col min="15152" max="15152" width="9.5546875" style="2" bestFit="1" customWidth="1"/>
    <col min="15153" max="15153" width="9.33203125" style="2" bestFit="1" customWidth="1"/>
    <col min="15154" max="15162" width="7.6640625" style="2" customWidth="1"/>
    <col min="15163" max="15163" width="9.5546875" style="2" bestFit="1" customWidth="1"/>
    <col min="15164" max="15178" width="7.6640625" style="2" customWidth="1"/>
    <col min="15179" max="15179" width="46.109375" style="2" customWidth="1"/>
    <col min="15180" max="15397" width="8.88671875" style="2"/>
    <col min="15398" max="15398" width="9.6640625" style="2" customWidth="1"/>
    <col min="15399" max="15399" width="23.5546875" style="2" bestFit="1" customWidth="1"/>
    <col min="15400" max="15400" width="23.5546875" style="2" customWidth="1"/>
    <col min="15401" max="15401" width="19.33203125" style="2" bestFit="1" customWidth="1"/>
    <col min="15402" max="15402" width="30.88671875" style="2" bestFit="1" customWidth="1"/>
    <col min="15403" max="15403" width="18" style="2" bestFit="1" customWidth="1"/>
    <col min="15404" max="15407" width="9.33203125" style="2" bestFit="1" customWidth="1"/>
    <col min="15408" max="15408" width="9.5546875" style="2" bestFit="1" customWidth="1"/>
    <col min="15409" max="15409" width="9.33203125" style="2" bestFit="1" customWidth="1"/>
    <col min="15410" max="15418" width="7.6640625" style="2" customWidth="1"/>
    <col min="15419" max="15419" width="9.5546875" style="2" bestFit="1" customWidth="1"/>
    <col min="15420" max="15434" width="7.6640625" style="2" customWidth="1"/>
    <col min="15435" max="15435" width="46.109375" style="2" customWidth="1"/>
    <col min="15436" max="15653" width="8.88671875" style="2"/>
    <col min="15654" max="15654" width="9.6640625" style="2" customWidth="1"/>
    <col min="15655" max="15655" width="23.5546875" style="2" bestFit="1" customWidth="1"/>
    <col min="15656" max="15656" width="23.5546875" style="2" customWidth="1"/>
    <col min="15657" max="15657" width="19.33203125" style="2" bestFit="1" customWidth="1"/>
    <col min="15658" max="15658" width="30.88671875" style="2" bestFit="1" customWidth="1"/>
    <col min="15659" max="15659" width="18" style="2" bestFit="1" customWidth="1"/>
    <col min="15660" max="15663" width="9.33203125" style="2" bestFit="1" customWidth="1"/>
    <col min="15664" max="15664" width="9.5546875" style="2" bestFit="1" customWidth="1"/>
    <col min="15665" max="15665" width="9.33203125" style="2" bestFit="1" customWidth="1"/>
    <col min="15666" max="15674" width="7.6640625" style="2" customWidth="1"/>
    <col min="15675" max="15675" width="9.5546875" style="2" bestFit="1" customWidth="1"/>
    <col min="15676" max="15690" width="7.6640625" style="2" customWidth="1"/>
    <col min="15691" max="15691" width="46.109375" style="2" customWidth="1"/>
    <col min="15692" max="15909" width="8.88671875" style="2"/>
    <col min="15910" max="15910" width="9.6640625" style="2" customWidth="1"/>
    <col min="15911" max="15911" width="23.5546875" style="2" bestFit="1" customWidth="1"/>
    <col min="15912" max="15912" width="23.5546875" style="2" customWidth="1"/>
    <col min="15913" max="15913" width="19.33203125" style="2" bestFit="1" customWidth="1"/>
    <col min="15914" max="15914" width="30.88671875" style="2" bestFit="1" customWidth="1"/>
    <col min="15915" max="15915" width="18" style="2" bestFit="1" customWidth="1"/>
    <col min="15916" max="15919" width="9.33203125" style="2" bestFit="1" customWidth="1"/>
    <col min="15920" max="15920" width="9.5546875" style="2" bestFit="1" customWidth="1"/>
    <col min="15921" max="15921" width="9.33203125" style="2" bestFit="1" customWidth="1"/>
    <col min="15922" max="15930" width="7.6640625" style="2" customWidth="1"/>
    <col min="15931" max="15931" width="9.5546875" style="2" bestFit="1" customWidth="1"/>
    <col min="15932" max="15946" width="7.6640625" style="2" customWidth="1"/>
    <col min="15947" max="15947" width="46.109375" style="2" customWidth="1"/>
    <col min="15948" max="16165" width="8.88671875" style="2"/>
    <col min="16166" max="16166" width="9.6640625" style="2" customWidth="1"/>
    <col min="16167" max="16167" width="23.5546875" style="2" bestFit="1" customWidth="1"/>
    <col min="16168" max="16168" width="23.5546875" style="2" customWidth="1"/>
    <col min="16169" max="16169" width="19.33203125" style="2" bestFit="1" customWidth="1"/>
    <col min="16170" max="16170" width="30.88671875" style="2" bestFit="1" customWidth="1"/>
    <col min="16171" max="16171" width="18" style="2" bestFit="1" customWidth="1"/>
    <col min="16172" max="16175" width="9.33203125" style="2" bestFit="1" customWidth="1"/>
    <col min="16176" max="16176" width="9.5546875" style="2" bestFit="1" customWidth="1"/>
    <col min="16177" max="16177" width="9.33203125" style="2" bestFit="1" customWidth="1"/>
    <col min="16178" max="16186" width="7.6640625" style="2" customWidth="1"/>
    <col min="16187" max="16187" width="9.5546875" style="2" bestFit="1" customWidth="1"/>
    <col min="16188" max="16202" width="7.6640625" style="2" customWidth="1"/>
    <col min="16203" max="16203" width="46.109375" style="2" customWidth="1"/>
    <col min="16204" max="16380" width="8.88671875" style="2"/>
    <col min="16381" max="16384" width="9" style="2" customWidth="1"/>
  </cols>
  <sheetData>
    <row r="1" spans="1:76" ht="15.6" x14ac:dyDescent="0.3">
      <c r="A1" s="106" t="s">
        <v>12</v>
      </c>
      <c r="B1" s="106" t="s">
        <v>226</v>
      </c>
    </row>
    <row r="2" spans="1:76" ht="16.2" thickBot="1" x14ac:dyDescent="0.35">
      <c r="A2" s="107" t="s">
        <v>227</v>
      </c>
      <c r="B2" s="108">
        <v>45798</v>
      </c>
    </row>
    <row r="3" spans="1:76" s="3" customFormat="1" ht="24" thickBot="1" x14ac:dyDescent="0.35">
      <c r="A3" s="107" t="s">
        <v>228</v>
      </c>
      <c r="B3" s="108">
        <v>45812</v>
      </c>
      <c r="D3" s="1"/>
      <c r="I3" s="8"/>
      <c r="J3" s="8"/>
      <c r="K3" s="9"/>
      <c r="L3" s="9"/>
      <c r="M3" s="10"/>
      <c r="N3" s="10"/>
      <c r="O3" s="9"/>
      <c r="P3" s="9"/>
      <c r="Q3" s="8"/>
      <c r="R3" s="8"/>
      <c r="S3" s="8"/>
      <c r="T3" s="8"/>
      <c r="U3" s="8"/>
      <c r="V3" s="8"/>
      <c r="W3" s="11"/>
      <c r="X3" s="11"/>
      <c r="Y3" s="12" t="s">
        <v>0</v>
      </c>
      <c r="Z3" s="13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5"/>
      <c r="BS3" s="15"/>
      <c r="BT3" s="16"/>
      <c r="BU3" s="17"/>
      <c r="BV3" s="17"/>
      <c r="BW3" s="17"/>
      <c r="BX3" s="17"/>
    </row>
    <row r="4" spans="1:76" s="35" customFormat="1" ht="60" customHeight="1" thickBot="1" x14ac:dyDescent="0.35">
      <c r="A4" s="18"/>
      <c r="B4" s="19"/>
      <c r="C4" s="19"/>
      <c r="D4" s="19"/>
      <c r="E4" s="20"/>
      <c r="F4" s="20"/>
      <c r="G4" s="20"/>
      <c r="H4" s="20"/>
      <c r="I4" s="21"/>
      <c r="J4" s="21"/>
      <c r="K4" s="22"/>
      <c r="L4" s="22"/>
      <c r="M4" s="23"/>
      <c r="N4" s="23"/>
      <c r="O4" s="22"/>
      <c r="P4" s="22"/>
      <c r="Q4" s="21"/>
      <c r="R4" s="21"/>
      <c r="S4" s="21"/>
      <c r="T4" s="21"/>
      <c r="U4" s="21"/>
      <c r="V4" s="21"/>
      <c r="W4" s="24"/>
      <c r="X4" s="24"/>
      <c r="Y4" s="25" t="s">
        <v>1</v>
      </c>
      <c r="Z4" s="26"/>
      <c r="AA4" s="26"/>
      <c r="AB4" s="26"/>
      <c r="AC4" s="26"/>
      <c r="AD4" s="26"/>
      <c r="AE4" s="26"/>
      <c r="AF4" s="27"/>
      <c r="AG4" s="25" t="s">
        <v>2</v>
      </c>
      <c r="AH4" s="26"/>
      <c r="AI4" s="26"/>
      <c r="AJ4" s="26"/>
      <c r="AK4" s="26"/>
      <c r="AL4" s="26"/>
      <c r="AM4" s="26"/>
      <c r="AN4" s="27"/>
      <c r="AO4" s="25" t="s">
        <v>3</v>
      </c>
      <c r="AP4" s="26"/>
      <c r="AQ4" s="26"/>
      <c r="AR4" s="26"/>
      <c r="AS4" s="26"/>
      <c r="AT4" s="26"/>
      <c r="AU4" s="26"/>
      <c r="AV4" s="27"/>
      <c r="AW4" s="25" t="s">
        <v>4</v>
      </c>
      <c r="AX4" s="26"/>
      <c r="AY4" s="26"/>
      <c r="AZ4" s="26"/>
      <c r="BA4" s="26"/>
      <c r="BB4" s="26"/>
      <c r="BC4" s="26"/>
      <c r="BD4" s="27"/>
      <c r="BE4" s="25" t="s">
        <v>5</v>
      </c>
      <c r="BF4" s="26"/>
      <c r="BG4" s="26"/>
      <c r="BH4" s="26"/>
      <c r="BI4" s="26"/>
      <c r="BJ4" s="26"/>
      <c r="BK4" s="26"/>
      <c r="BL4" s="27"/>
      <c r="BM4" s="28" t="s">
        <v>6</v>
      </c>
      <c r="BN4" s="29"/>
      <c r="BO4" s="30"/>
      <c r="BP4" s="30"/>
      <c r="BQ4" s="30"/>
      <c r="BR4" s="30"/>
      <c r="BS4" s="30"/>
      <c r="BT4" s="30"/>
      <c r="BU4" s="31" t="s">
        <v>7</v>
      </c>
      <c r="BV4" s="32"/>
      <c r="BW4" s="33"/>
      <c r="BX4" s="34"/>
    </row>
    <row r="5" spans="1:76" s="72" customFormat="1" ht="41.4" x14ac:dyDescent="0.3">
      <c r="A5" s="36" t="s">
        <v>8</v>
      </c>
      <c r="B5" s="37" t="s">
        <v>9</v>
      </c>
      <c r="C5" s="37" t="s">
        <v>10</v>
      </c>
      <c r="D5" s="38" t="s">
        <v>11</v>
      </c>
      <c r="E5" s="39" t="s">
        <v>12</v>
      </c>
      <c r="F5" s="40" t="s">
        <v>13</v>
      </c>
      <c r="G5" s="40" t="s">
        <v>14</v>
      </c>
      <c r="H5" s="40" t="s">
        <v>15</v>
      </c>
      <c r="I5" s="41" t="s">
        <v>16</v>
      </c>
      <c r="J5" s="42" t="s">
        <v>17</v>
      </c>
      <c r="K5" s="43" t="s">
        <v>18</v>
      </c>
      <c r="L5" s="44" t="s">
        <v>19</v>
      </c>
      <c r="M5" s="45" t="s">
        <v>20</v>
      </c>
      <c r="N5" s="46" t="s">
        <v>21</v>
      </c>
      <c r="O5" s="47" t="s">
        <v>22</v>
      </c>
      <c r="P5" s="43" t="s">
        <v>23</v>
      </c>
      <c r="Q5" s="48" t="s">
        <v>24</v>
      </c>
      <c r="R5" s="49" t="s">
        <v>25</v>
      </c>
      <c r="S5" s="49" t="s">
        <v>26</v>
      </c>
      <c r="T5" s="49" t="s">
        <v>27</v>
      </c>
      <c r="U5" s="50" t="s">
        <v>28</v>
      </c>
      <c r="V5" s="51">
        <v>0.1</v>
      </c>
      <c r="W5" s="52" t="s">
        <v>29</v>
      </c>
      <c r="X5" s="53" t="s">
        <v>30</v>
      </c>
      <c r="Y5" s="54" t="s">
        <v>31</v>
      </c>
      <c r="Z5" s="55">
        <v>1.25</v>
      </c>
      <c r="AA5" s="56" t="s">
        <v>32</v>
      </c>
      <c r="AB5" s="57">
        <v>1.25</v>
      </c>
      <c r="AC5" s="58" t="s">
        <v>28</v>
      </c>
      <c r="AD5" s="51">
        <v>0.1</v>
      </c>
      <c r="AE5" s="59" t="s">
        <v>33</v>
      </c>
      <c r="AF5" s="60">
        <f>Z5*0.1</f>
        <v>0.125</v>
      </c>
      <c r="AG5" s="61" t="s">
        <v>31</v>
      </c>
      <c r="AH5" s="55">
        <v>1.3</v>
      </c>
      <c r="AI5" s="56" t="s">
        <v>32</v>
      </c>
      <c r="AJ5" s="57">
        <v>1.69</v>
      </c>
      <c r="AK5" s="62" t="s">
        <v>28</v>
      </c>
      <c r="AL5" s="51">
        <v>0.1</v>
      </c>
      <c r="AM5" s="59" t="s">
        <v>33</v>
      </c>
      <c r="AN5" s="63">
        <f>AH5*0.1</f>
        <v>0.13</v>
      </c>
      <c r="AO5" s="61" t="s">
        <v>31</v>
      </c>
      <c r="AP5" s="55">
        <v>2</v>
      </c>
      <c r="AQ5" s="56" t="s">
        <v>32</v>
      </c>
      <c r="AR5" s="57">
        <v>2.6</v>
      </c>
      <c r="AS5" s="62" t="s">
        <v>28</v>
      </c>
      <c r="AT5" s="51">
        <v>0.1</v>
      </c>
      <c r="AU5" s="59" t="s">
        <v>33</v>
      </c>
      <c r="AV5" s="51">
        <f>AP5*0.1</f>
        <v>0.2</v>
      </c>
      <c r="AW5" s="61" t="s">
        <v>31</v>
      </c>
      <c r="AX5" s="55">
        <v>2.6</v>
      </c>
      <c r="AY5" s="56" t="s">
        <v>32</v>
      </c>
      <c r="AZ5" s="57">
        <v>3.38</v>
      </c>
      <c r="BA5" s="64" t="s">
        <v>28</v>
      </c>
      <c r="BB5" s="51">
        <v>0.1</v>
      </c>
      <c r="BC5" s="56" t="s">
        <v>33</v>
      </c>
      <c r="BD5" s="63">
        <f>AX5*0.1</f>
        <v>0.26</v>
      </c>
      <c r="BE5" s="65" t="s">
        <v>31</v>
      </c>
      <c r="BF5" s="55">
        <v>1.3</v>
      </c>
      <c r="BG5" s="56" t="s">
        <v>32</v>
      </c>
      <c r="BH5" s="57">
        <v>1.69</v>
      </c>
      <c r="BI5" s="62" t="s">
        <v>28</v>
      </c>
      <c r="BJ5" s="51">
        <v>0.1</v>
      </c>
      <c r="BK5" s="59" t="s">
        <v>33</v>
      </c>
      <c r="BL5" s="66">
        <f>BF5*0.1</f>
        <v>0.13</v>
      </c>
      <c r="BM5" s="56" t="s">
        <v>31</v>
      </c>
      <c r="BN5" s="67">
        <v>1.5</v>
      </c>
      <c r="BO5" s="56" t="s">
        <v>32</v>
      </c>
      <c r="BP5" s="67">
        <v>1.95</v>
      </c>
      <c r="BQ5" s="56" t="s">
        <v>28</v>
      </c>
      <c r="BR5" s="51">
        <v>0.1</v>
      </c>
      <c r="BS5" s="68" t="s">
        <v>33</v>
      </c>
      <c r="BT5" s="51">
        <f>BN5*0.1</f>
        <v>0.15000000000000002</v>
      </c>
      <c r="BU5" s="69" t="s">
        <v>34</v>
      </c>
      <c r="BV5" s="70" t="s">
        <v>35</v>
      </c>
      <c r="BW5" s="71" t="s">
        <v>36</v>
      </c>
      <c r="BX5" s="71" t="s">
        <v>37</v>
      </c>
    </row>
    <row r="6" spans="1:76" s="82" customFormat="1" x14ac:dyDescent="0.3">
      <c r="A6" s="73">
        <v>64377</v>
      </c>
      <c r="B6" s="74" t="s">
        <v>38</v>
      </c>
      <c r="C6" s="74" t="s">
        <v>39</v>
      </c>
      <c r="D6" s="74" t="s">
        <v>40</v>
      </c>
      <c r="E6" s="74" t="str">
        <f>INDEX('[1]Branch code'!F:F,MATCH(D6,'[1]Branch code'!D:D,0))</f>
        <v xml:space="preserve"> VueConcepts, Inc.</v>
      </c>
      <c r="F6" s="75" t="str">
        <f>INDEX('[1]Region rate'!B:B,MATCH(D6,'[1]Region rate'!A:A,0))</f>
        <v>4A1</v>
      </c>
      <c r="G6" s="76">
        <f>INDEX('[1]Region rate'!C:C,MATCH(F6,'[1]Region rate'!B:B,0))</f>
        <v>684.51282051282044</v>
      </c>
      <c r="H6" s="77">
        <f>G6/8</f>
        <v>85.564102564102555</v>
      </c>
      <c r="I6" s="78"/>
      <c r="J6" s="78"/>
      <c r="K6" s="79"/>
      <c r="L6" s="79">
        <f>INDEX([1]Allowance!B:B,MATCH(F6,[1]Allowance!A:A,0))</f>
        <v>85</v>
      </c>
      <c r="M6" s="79"/>
      <c r="N6" s="79"/>
      <c r="O6" s="79"/>
      <c r="P6" s="79">
        <v>112</v>
      </c>
      <c r="Q6" s="78">
        <f>(O6+P6)*H6</f>
        <v>9583.1794871794864</v>
      </c>
      <c r="R6" s="78">
        <f>(O6+P6+AG6+AO6+AW6+BE6+BM6)/8*L6</f>
        <v>1190</v>
      </c>
      <c r="S6" s="78">
        <f>(O6+P6+AG6+AO6+AW6+BE6+BM6)/8*M6</f>
        <v>0</v>
      </c>
      <c r="T6" s="78">
        <f>(O6+P6+AG6+AO6+AW6+BE6+BM6)/8*N6</f>
        <v>0</v>
      </c>
      <c r="U6" s="79"/>
      <c r="V6" s="78"/>
      <c r="W6" s="80"/>
      <c r="X6" s="80">
        <f>W6*H6</f>
        <v>0</v>
      </c>
      <c r="Y6" s="79">
        <v>28.583300000000001</v>
      </c>
      <c r="Z6" s="78">
        <f>H6*$Z$5*Y6</f>
        <v>3057.1305160256406</v>
      </c>
      <c r="AA6" s="80"/>
      <c r="AB6" s="78">
        <f>H6*$AB$5*AA6</f>
        <v>0</v>
      </c>
      <c r="AC6" s="79"/>
      <c r="AD6" s="78">
        <f>H6*$AD$5*AC6</f>
        <v>0</v>
      </c>
      <c r="AE6" s="80"/>
      <c r="AF6" s="78">
        <f>H6*$AF$5*AE6</f>
        <v>0</v>
      </c>
      <c r="AG6" s="79"/>
      <c r="AH6" s="78">
        <f>H6*$AH$5*AG6</f>
        <v>0</v>
      </c>
      <c r="AI6" s="80"/>
      <c r="AJ6" s="78">
        <f>H6*$AJ$5*AI6</f>
        <v>0</v>
      </c>
      <c r="AK6" s="80"/>
      <c r="AL6" s="78">
        <f>H6*$AL$5*AK6</f>
        <v>0</v>
      </c>
      <c r="AM6" s="80"/>
      <c r="AN6" s="78">
        <f>H6*$AN$5*AM6</f>
        <v>0</v>
      </c>
      <c r="AO6" s="80"/>
      <c r="AP6" s="78">
        <f>H6*$AP$5*AO6</f>
        <v>0</v>
      </c>
      <c r="AQ6" s="80"/>
      <c r="AR6" s="78">
        <f>H6*$AR$5*AQ6</f>
        <v>0</v>
      </c>
      <c r="AS6" s="80"/>
      <c r="AT6" s="78">
        <f>H6*$AT$5*AS6</f>
        <v>0</v>
      </c>
      <c r="AU6" s="80"/>
      <c r="AV6" s="78">
        <f>H6*$AV$5*AU6</f>
        <v>0</v>
      </c>
      <c r="AW6" s="80"/>
      <c r="AX6" s="78">
        <f>H6*$AX$5*AW6</f>
        <v>0</v>
      </c>
      <c r="AY6" s="80"/>
      <c r="AZ6" s="78">
        <f>H6*$AZ$5*AY6</f>
        <v>0</v>
      </c>
      <c r="BA6" s="80"/>
      <c r="BB6" s="78">
        <f>H6*$BB$5*BA6</f>
        <v>0</v>
      </c>
      <c r="BC6" s="80"/>
      <c r="BD6" s="78">
        <f>H6*$BD$5*BC6</f>
        <v>0</v>
      </c>
      <c r="BE6" s="80"/>
      <c r="BF6" s="78">
        <f>H6*$BF$5*BE6</f>
        <v>0</v>
      </c>
      <c r="BG6" s="80"/>
      <c r="BH6" s="78">
        <f>H6*$BH$5*BG6</f>
        <v>0</v>
      </c>
      <c r="BI6" s="80"/>
      <c r="BJ6" s="78">
        <f>H6*$BJ$5*BI6</f>
        <v>0</v>
      </c>
      <c r="BK6" s="80"/>
      <c r="BL6" s="78">
        <f>H6*$BL$5*BK6</f>
        <v>0</v>
      </c>
      <c r="BM6" s="80"/>
      <c r="BN6" s="78">
        <f>H6*$BN$5*BM6</f>
        <v>0</v>
      </c>
      <c r="BO6" s="80"/>
      <c r="BP6" s="78">
        <f>H6*$BP$5*BO6</f>
        <v>0</v>
      </c>
      <c r="BQ6" s="80"/>
      <c r="BR6" s="78">
        <f>H6*$BR$5*BQ6</f>
        <v>0</v>
      </c>
      <c r="BS6" s="73"/>
      <c r="BT6" s="81">
        <f>H6*$BT$5*BS6</f>
        <v>0</v>
      </c>
      <c r="BU6" s="81"/>
      <c r="BV6" s="81"/>
      <c r="BW6" s="81"/>
      <c r="BX6" s="81">
        <f t="shared" ref="BX6:BX69" si="0">Q6+V6+Z6+AB6+AD6+AF6+AH6+AJ6+AL6+AN6+AP6+AR6+AT6+AV6+AX6+AZ6+BB6+BD6+BF6+BH6+BJ6+BL6+BN6+BP6+BR6+BT6-X6</f>
        <v>12640.310003205126</v>
      </c>
    </row>
    <row r="7" spans="1:76" s="82" customFormat="1" x14ac:dyDescent="0.3">
      <c r="A7" s="73">
        <v>63435</v>
      </c>
      <c r="B7" s="74" t="s">
        <v>41</v>
      </c>
      <c r="C7" s="74" t="s">
        <v>39</v>
      </c>
      <c r="D7" s="74" t="s">
        <v>42</v>
      </c>
      <c r="E7" s="74" t="str">
        <f>INDEX('[1]Branch code'!F:F,MATCH(D7,'[1]Branch code'!D:D,0))</f>
        <v>Occhialera Filipinas, Inc.</v>
      </c>
      <c r="F7" s="75">
        <f>INDEX('[1]Region rate'!B:B,MATCH(D7,'[1]Region rate'!A:A,0))</f>
        <v>10</v>
      </c>
      <c r="G7" s="76">
        <f>INDEX('[1]Region rate'!C:C,MATCH(F7,'[1]Region rate'!B:B,0))</f>
        <v>565.17243589743589</v>
      </c>
      <c r="H7" s="77">
        <f t="shared" ref="H7:H70" si="1">G7/8</f>
        <v>70.646554487179486</v>
      </c>
      <c r="I7" s="78">
        <v>0.15</v>
      </c>
      <c r="J7" s="78"/>
      <c r="K7" s="79">
        <v>104</v>
      </c>
      <c r="L7" s="79">
        <f>INDEX([1]Allowance!B:B,MATCH(F7,[1]Allowance!A:A,0))</f>
        <v>184</v>
      </c>
      <c r="M7" s="79"/>
      <c r="N7" s="79"/>
      <c r="O7" s="79"/>
      <c r="P7" s="79">
        <v>7.85</v>
      </c>
      <c r="Q7" s="78">
        <f t="shared" ref="Q7:Q70" si="2">(O7+P7)*H7</f>
        <v>554.57545272435891</v>
      </c>
      <c r="R7" s="78">
        <f t="shared" ref="R7:R70" si="3">(O7+P7+AG7+AO7+AW7+BE7+BM7)/8*L7</f>
        <v>180.54999999999998</v>
      </c>
      <c r="S7" s="78">
        <f t="shared" ref="S7:S70" si="4">(O7+P7+AG7+AO7+AW7+BE7+BM7)/8*M7</f>
        <v>0</v>
      </c>
      <c r="T7" s="78">
        <f t="shared" ref="T7:T70" si="5">(O7+P7+AG7+AO7+AW7+BE7+BM7)/8*N7</f>
        <v>0</v>
      </c>
      <c r="U7" s="79"/>
      <c r="V7" s="78">
        <f>H7*$V$5*U7</f>
        <v>0</v>
      </c>
      <c r="W7" s="80"/>
      <c r="X7" s="80">
        <f t="shared" ref="X7:X70" si="6">W7*H7</f>
        <v>0</v>
      </c>
      <c r="Y7" s="79"/>
      <c r="Z7" s="78">
        <f t="shared" ref="Z7:Z70" si="7">H7*$Z$5*Y7</f>
        <v>0</v>
      </c>
      <c r="AA7" s="80"/>
      <c r="AB7" s="78">
        <f t="shared" ref="AB7:AB70" si="8">H7*$AB$5*AA7</f>
        <v>0</v>
      </c>
      <c r="AC7" s="79"/>
      <c r="AD7" s="78">
        <f t="shared" ref="AD7:AD70" si="9">H7*$AD$5*AC7</f>
        <v>0</v>
      </c>
      <c r="AE7" s="80"/>
      <c r="AF7" s="78">
        <f t="shared" ref="AF7:AF70" si="10">H7*$AF$5*AE7</f>
        <v>0</v>
      </c>
      <c r="AG7" s="79"/>
      <c r="AH7" s="78">
        <f t="shared" ref="AH7:AH70" si="11">H7*$AH$5*AG7</f>
        <v>0</v>
      </c>
      <c r="AI7" s="80"/>
      <c r="AJ7" s="78">
        <f t="shared" ref="AJ7:AJ70" si="12">H7*$AJ$5*AI7</f>
        <v>0</v>
      </c>
      <c r="AK7" s="80"/>
      <c r="AL7" s="78">
        <f t="shared" ref="AL7:AL70" si="13">H7*$AL$5*AK7</f>
        <v>0</v>
      </c>
      <c r="AM7" s="80"/>
      <c r="AN7" s="78">
        <f t="shared" ref="AN7:AN70" si="14">H7*$AN$5*AM7</f>
        <v>0</v>
      </c>
      <c r="AO7" s="80"/>
      <c r="AP7" s="78">
        <f t="shared" ref="AP7:AP70" si="15">H7*$AP$5*AO7</f>
        <v>0</v>
      </c>
      <c r="AQ7" s="80"/>
      <c r="AR7" s="78">
        <f t="shared" ref="AR7:AR70" si="16">H7*$AR$5*AQ7</f>
        <v>0</v>
      </c>
      <c r="AS7" s="80"/>
      <c r="AT7" s="78">
        <f t="shared" ref="AT7:AT70" si="17">H7*$AT$5*AS7</f>
        <v>0</v>
      </c>
      <c r="AU7" s="80"/>
      <c r="AV7" s="78">
        <f t="shared" ref="AV7:AV70" si="18">H7*$AV$5*AU7</f>
        <v>0</v>
      </c>
      <c r="AW7" s="80"/>
      <c r="AX7" s="78">
        <f t="shared" ref="AX7:AX70" si="19">H7*$AX$5*AW7</f>
        <v>0</v>
      </c>
      <c r="AY7" s="80"/>
      <c r="AZ7" s="78">
        <f t="shared" ref="AZ7:AZ70" si="20">H7*$AZ$5*AY7</f>
        <v>0</v>
      </c>
      <c r="BA7" s="80"/>
      <c r="BB7" s="78">
        <f t="shared" ref="BB7:BB70" si="21">H7*$BB$5*BA7</f>
        <v>0</v>
      </c>
      <c r="BC7" s="80"/>
      <c r="BD7" s="78">
        <f t="shared" ref="BD7:BD70" si="22">H7*$BD$5*BC7</f>
        <v>0</v>
      </c>
      <c r="BE7" s="80"/>
      <c r="BF7" s="78">
        <f t="shared" ref="BF7:BF70" si="23">H7*$BF$5*BE7</f>
        <v>0</v>
      </c>
      <c r="BG7" s="80"/>
      <c r="BH7" s="78">
        <f t="shared" ref="BH7:BH70" si="24">H7*$BH$5*BG7</f>
        <v>0</v>
      </c>
      <c r="BI7" s="80"/>
      <c r="BJ7" s="78">
        <f t="shared" ref="BJ7:BJ70" si="25">H7*$BJ$5*BI7</f>
        <v>0</v>
      </c>
      <c r="BK7" s="80"/>
      <c r="BL7" s="78">
        <f t="shared" ref="BL7:BL70" si="26">H7*$BL$5*BK7</f>
        <v>0</v>
      </c>
      <c r="BM7" s="80"/>
      <c r="BN7" s="78">
        <f t="shared" ref="BN7:BN70" si="27">H7*$BN$5*BM7</f>
        <v>0</v>
      </c>
      <c r="BO7" s="80"/>
      <c r="BP7" s="78">
        <f t="shared" ref="BP7:BP70" si="28">H7*$BP$5*BO7</f>
        <v>0</v>
      </c>
      <c r="BQ7" s="80"/>
      <c r="BR7" s="78">
        <f>H7*$BR$5*BQ7</f>
        <v>0</v>
      </c>
      <c r="BS7" s="73"/>
      <c r="BT7" s="81">
        <f t="shared" ref="BT7:BT70" si="29">H7*$BT$5*BS7</f>
        <v>0</v>
      </c>
      <c r="BU7" s="81"/>
      <c r="BV7" s="81"/>
      <c r="BW7" s="81"/>
      <c r="BX7" s="81">
        <f t="shared" si="0"/>
        <v>554.57545272435891</v>
      </c>
    </row>
    <row r="8" spans="1:76" s="82" customFormat="1" x14ac:dyDescent="0.3">
      <c r="A8" s="73">
        <v>51287</v>
      </c>
      <c r="B8" s="74" t="s">
        <v>43</v>
      </c>
      <c r="C8" s="74" t="s">
        <v>44</v>
      </c>
      <c r="D8" s="74" t="s">
        <v>45</v>
      </c>
      <c r="E8" s="74" t="str">
        <f>INDEX('[1]Branch code'!F:F,MATCH(D8,'[1]Branch code'!D:D,0))</f>
        <v xml:space="preserve"> Spectacle Trolley Corp.</v>
      </c>
      <c r="F8" s="75">
        <f>INDEX('[1]Region rate'!B:B,MATCH(D8,'[1]Region rate'!A:A,0))</f>
        <v>6</v>
      </c>
      <c r="G8" s="76">
        <v>845.38</v>
      </c>
      <c r="H8" s="77">
        <f t="shared" si="1"/>
        <v>105.6725</v>
      </c>
      <c r="I8" s="78">
        <v>0.8</v>
      </c>
      <c r="J8" s="78">
        <v>0.57999999999999996</v>
      </c>
      <c r="K8" s="79"/>
      <c r="L8" s="79">
        <v>153.84</v>
      </c>
      <c r="M8" s="79"/>
      <c r="N8" s="79"/>
      <c r="O8" s="79"/>
      <c r="P8" s="79">
        <v>110.62</v>
      </c>
      <c r="Q8" s="78">
        <f t="shared" si="2"/>
        <v>11689.49195</v>
      </c>
      <c r="R8" s="78">
        <f t="shared" si="3"/>
        <v>2127.2226000000001</v>
      </c>
      <c r="S8" s="78">
        <f t="shared" si="4"/>
        <v>0</v>
      </c>
      <c r="T8" s="78">
        <f t="shared" si="5"/>
        <v>0</v>
      </c>
      <c r="U8" s="79"/>
      <c r="V8" s="78">
        <f t="shared" ref="V7:V70" si="30">H8*$V$5*U8</f>
        <v>0</v>
      </c>
      <c r="W8" s="80"/>
      <c r="X8" s="80">
        <f t="shared" si="6"/>
        <v>0</v>
      </c>
      <c r="Y8" s="79"/>
      <c r="Z8" s="78">
        <f t="shared" si="7"/>
        <v>0</v>
      </c>
      <c r="AA8" s="80"/>
      <c r="AB8" s="78">
        <f t="shared" si="8"/>
        <v>0</v>
      </c>
      <c r="AC8" s="79"/>
      <c r="AD8" s="78">
        <f t="shared" si="9"/>
        <v>0</v>
      </c>
      <c r="AE8" s="80"/>
      <c r="AF8" s="78">
        <f t="shared" si="10"/>
        <v>0</v>
      </c>
      <c r="AG8" s="79"/>
      <c r="AH8" s="78">
        <f t="shared" si="11"/>
        <v>0</v>
      </c>
      <c r="AI8" s="80"/>
      <c r="AJ8" s="78">
        <f t="shared" si="12"/>
        <v>0</v>
      </c>
      <c r="AK8" s="80"/>
      <c r="AL8" s="78">
        <f t="shared" si="13"/>
        <v>0</v>
      </c>
      <c r="AM8" s="80"/>
      <c r="AN8" s="78">
        <f t="shared" si="14"/>
        <v>0</v>
      </c>
      <c r="AO8" s="80"/>
      <c r="AP8" s="78">
        <f t="shared" si="15"/>
        <v>0</v>
      </c>
      <c r="AQ8" s="80"/>
      <c r="AR8" s="78">
        <f t="shared" si="16"/>
        <v>0</v>
      </c>
      <c r="AS8" s="80"/>
      <c r="AT8" s="78">
        <f t="shared" si="17"/>
        <v>0</v>
      </c>
      <c r="AU8" s="80"/>
      <c r="AV8" s="78">
        <f t="shared" si="18"/>
        <v>0</v>
      </c>
      <c r="AW8" s="80"/>
      <c r="AX8" s="78">
        <f t="shared" si="19"/>
        <v>0</v>
      </c>
      <c r="AY8" s="80"/>
      <c r="AZ8" s="78">
        <f t="shared" si="20"/>
        <v>0</v>
      </c>
      <c r="BA8" s="80"/>
      <c r="BB8" s="78">
        <f t="shared" si="21"/>
        <v>0</v>
      </c>
      <c r="BC8" s="80"/>
      <c r="BD8" s="78">
        <f t="shared" si="22"/>
        <v>0</v>
      </c>
      <c r="BE8" s="80"/>
      <c r="BF8" s="78">
        <f t="shared" si="23"/>
        <v>0</v>
      </c>
      <c r="BG8" s="80"/>
      <c r="BH8" s="78">
        <f t="shared" si="24"/>
        <v>0</v>
      </c>
      <c r="BI8" s="80"/>
      <c r="BJ8" s="78">
        <f t="shared" si="25"/>
        <v>0</v>
      </c>
      <c r="BK8" s="80"/>
      <c r="BL8" s="78">
        <f t="shared" si="26"/>
        <v>0</v>
      </c>
      <c r="BM8" s="80"/>
      <c r="BN8" s="78">
        <f t="shared" si="27"/>
        <v>0</v>
      </c>
      <c r="BO8" s="80"/>
      <c r="BP8" s="78">
        <f t="shared" si="28"/>
        <v>0</v>
      </c>
      <c r="BQ8" s="80"/>
      <c r="BR8" s="78">
        <f t="shared" ref="BR8:BR71" si="31">H8*$BR$5*BQ8</f>
        <v>0</v>
      </c>
      <c r="BS8" s="73"/>
      <c r="BT8" s="81">
        <f t="shared" si="29"/>
        <v>0</v>
      </c>
      <c r="BU8" s="81"/>
      <c r="BV8" s="81"/>
      <c r="BW8" s="81"/>
      <c r="BX8" s="81">
        <f t="shared" si="0"/>
        <v>11689.49195</v>
      </c>
    </row>
    <row r="9" spans="1:76" s="82" customFormat="1" x14ac:dyDescent="0.3">
      <c r="A9" s="73">
        <v>52252</v>
      </c>
      <c r="B9" s="74" t="s">
        <v>46</v>
      </c>
      <c r="C9" s="74" t="s">
        <v>47</v>
      </c>
      <c r="D9" s="74" t="s">
        <v>48</v>
      </c>
      <c r="E9" s="74" t="s">
        <v>49</v>
      </c>
      <c r="F9" s="75" t="str">
        <f>INDEX('[1]Region rate'!B:B,MATCH(D9,'[1]Region rate'!A:A,0))</f>
        <v>NCR</v>
      </c>
      <c r="G9" s="76">
        <f>INDEX('[1]Region rate'!C:C,MATCH(F9,'[1]Region rate'!B:B,0))</f>
        <v>789.10576923076928</v>
      </c>
      <c r="H9" s="77">
        <f t="shared" si="1"/>
        <v>98.63822115384616</v>
      </c>
      <c r="I9" s="78"/>
      <c r="J9" s="78"/>
      <c r="K9" s="79">
        <v>112</v>
      </c>
      <c r="L9" s="79">
        <f>INDEX([1]Allowance!B:B,MATCH(F9,[1]Allowance!A:A,0))</f>
        <v>50</v>
      </c>
      <c r="M9" s="79"/>
      <c r="N9" s="79"/>
      <c r="O9" s="79"/>
      <c r="P9" s="79"/>
      <c r="Q9" s="78">
        <f t="shared" si="2"/>
        <v>0</v>
      </c>
      <c r="R9" s="78">
        <f t="shared" si="3"/>
        <v>0</v>
      </c>
      <c r="S9" s="78">
        <f t="shared" si="4"/>
        <v>0</v>
      </c>
      <c r="T9" s="78">
        <f t="shared" si="5"/>
        <v>0</v>
      </c>
      <c r="U9" s="79"/>
      <c r="V9" s="78">
        <f t="shared" si="30"/>
        <v>0</v>
      </c>
      <c r="W9" s="80"/>
      <c r="X9" s="80">
        <f t="shared" si="6"/>
        <v>0</v>
      </c>
      <c r="Y9" s="79"/>
      <c r="Z9" s="78">
        <f t="shared" si="7"/>
        <v>0</v>
      </c>
      <c r="AA9" s="80"/>
      <c r="AB9" s="78">
        <f t="shared" si="8"/>
        <v>0</v>
      </c>
      <c r="AC9" s="79"/>
      <c r="AD9" s="78">
        <f t="shared" si="9"/>
        <v>0</v>
      </c>
      <c r="AE9" s="80"/>
      <c r="AF9" s="78">
        <f t="shared" si="10"/>
        <v>0</v>
      </c>
      <c r="AG9" s="79"/>
      <c r="AH9" s="78">
        <f t="shared" si="11"/>
        <v>0</v>
      </c>
      <c r="AI9" s="80"/>
      <c r="AJ9" s="78">
        <f t="shared" si="12"/>
        <v>0</v>
      </c>
      <c r="AK9" s="80"/>
      <c r="AL9" s="78">
        <f t="shared" si="13"/>
        <v>0</v>
      </c>
      <c r="AM9" s="80"/>
      <c r="AN9" s="78">
        <f t="shared" si="14"/>
        <v>0</v>
      </c>
      <c r="AO9" s="80"/>
      <c r="AP9" s="78">
        <f t="shared" si="15"/>
        <v>0</v>
      </c>
      <c r="AQ9" s="80"/>
      <c r="AR9" s="78">
        <f t="shared" si="16"/>
        <v>0</v>
      </c>
      <c r="AS9" s="80"/>
      <c r="AT9" s="78">
        <f t="shared" si="17"/>
        <v>0</v>
      </c>
      <c r="AU9" s="80"/>
      <c r="AV9" s="78">
        <f t="shared" si="18"/>
        <v>0</v>
      </c>
      <c r="AW9" s="80"/>
      <c r="AX9" s="78">
        <f t="shared" si="19"/>
        <v>0</v>
      </c>
      <c r="AY9" s="80"/>
      <c r="AZ9" s="78">
        <f t="shared" si="20"/>
        <v>0</v>
      </c>
      <c r="BA9" s="80"/>
      <c r="BB9" s="78">
        <f t="shared" si="21"/>
        <v>0</v>
      </c>
      <c r="BC9" s="80"/>
      <c r="BD9" s="78">
        <f t="shared" si="22"/>
        <v>0</v>
      </c>
      <c r="BE9" s="80"/>
      <c r="BF9" s="78">
        <f t="shared" si="23"/>
        <v>0</v>
      </c>
      <c r="BG9" s="80"/>
      <c r="BH9" s="78">
        <f t="shared" si="24"/>
        <v>0</v>
      </c>
      <c r="BI9" s="80"/>
      <c r="BJ9" s="78">
        <f t="shared" si="25"/>
        <v>0</v>
      </c>
      <c r="BK9" s="80"/>
      <c r="BL9" s="78">
        <f t="shared" si="26"/>
        <v>0</v>
      </c>
      <c r="BM9" s="80"/>
      <c r="BN9" s="78">
        <f t="shared" si="27"/>
        <v>0</v>
      </c>
      <c r="BO9" s="80"/>
      <c r="BP9" s="78">
        <f t="shared" si="28"/>
        <v>0</v>
      </c>
      <c r="BQ9" s="80"/>
      <c r="BR9" s="78">
        <f t="shared" si="31"/>
        <v>0</v>
      </c>
      <c r="BS9" s="73"/>
      <c r="BT9" s="81">
        <f t="shared" si="29"/>
        <v>0</v>
      </c>
      <c r="BU9" s="81"/>
      <c r="BV9" s="81"/>
      <c r="BW9" s="81"/>
      <c r="BX9" s="81">
        <f t="shared" si="0"/>
        <v>0</v>
      </c>
    </row>
    <row r="10" spans="1:76" s="82" customFormat="1" x14ac:dyDescent="0.3">
      <c r="A10" s="73">
        <v>51970</v>
      </c>
      <c r="B10" s="74" t="s">
        <v>50</v>
      </c>
      <c r="C10" s="74" t="s">
        <v>47</v>
      </c>
      <c r="D10" s="74" t="s">
        <v>48</v>
      </c>
      <c r="E10" s="74" t="s">
        <v>49</v>
      </c>
      <c r="F10" s="75" t="str">
        <f>INDEX('[1]Region rate'!B:B,MATCH(D10,'[1]Region rate'!A:A,0))</f>
        <v>NCR</v>
      </c>
      <c r="G10" s="76">
        <f>INDEX('[1]Region rate'!C:C,MATCH(F10,'[1]Region rate'!B:B,0))</f>
        <v>789.10576923076928</v>
      </c>
      <c r="H10" s="77">
        <f t="shared" si="1"/>
        <v>98.63822115384616</v>
      </c>
      <c r="I10" s="78"/>
      <c r="J10" s="78"/>
      <c r="K10" s="79">
        <v>112</v>
      </c>
      <c r="L10" s="79">
        <f>INDEX([1]Allowance!B:B,MATCH(F10,[1]Allowance!A:A,0))</f>
        <v>50</v>
      </c>
      <c r="M10" s="79"/>
      <c r="N10" s="79"/>
      <c r="O10" s="79"/>
      <c r="P10" s="79"/>
      <c r="Q10" s="78">
        <f t="shared" si="2"/>
        <v>0</v>
      </c>
      <c r="R10" s="78">
        <f t="shared" si="3"/>
        <v>0</v>
      </c>
      <c r="S10" s="78">
        <f t="shared" si="4"/>
        <v>0</v>
      </c>
      <c r="T10" s="78">
        <f t="shared" si="5"/>
        <v>0</v>
      </c>
      <c r="U10" s="79"/>
      <c r="V10" s="78">
        <f t="shared" si="30"/>
        <v>0</v>
      </c>
      <c r="W10" s="80"/>
      <c r="X10" s="80">
        <f t="shared" si="6"/>
        <v>0</v>
      </c>
      <c r="Y10" s="79"/>
      <c r="Z10" s="78">
        <f t="shared" si="7"/>
        <v>0</v>
      </c>
      <c r="AA10" s="80"/>
      <c r="AB10" s="78">
        <f t="shared" si="8"/>
        <v>0</v>
      </c>
      <c r="AC10" s="79"/>
      <c r="AD10" s="78">
        <f t="shared" si="9"/>
        <v>0</v>
      </c>
      <c r="AE10" s="80"/>
      <c r="AF10" s="78">
        <f t="shared" si="10"/>
        <v>0</v>
      </c>
      <c r="AG10" s="79"/>
      <c r="AH10" s="78">
        <f t="shared" si="11"/>
        <v>0</v>
      </c>
      <c r="AI10" s="80"/>
      <c r="AJ10" s="78">
        <f t="shared" si="12"/>
        <v>0</v>
      </c>
      <c r="AK10" s="80"/>
      <c r="AL10" s="78">
        <f t="shared" si="13"/>
        <v>0</v>
      </c>
      <c r="AM10" s="80"/>
      <c r="AN10" s="78">
        <f t="shared" si="14"/>
        <v>0</v>
      </c>
      <c r="AO10" s="80"/>
      <c r="AP10" s="78">
        <f t="shared" si="15"/>
        <v>0</v>
      </c>
      <c r="AQ10" s="80"/>
      <c r="AR10" s="78">
        <f t="shared" si="16"/>
        <v>0</v>
      </c>
      <c r="AS10" s="80"/>
      <c r="AT10" s="78">
        <f t="shared" si="17"/>
        <v>0</v>
      </c>
      <c r="AU10" s="80"/>
      <c r="AV10" s="78">
        <f t="shared" si="18"/>
        <v>0</v>
      </c>
      <c r="AW10" s="80"/>
      <c r="AX10" s="78">
        <f t="shared" si="19"/>
        <v>0</v>
      </c>
      <c r="AY10" s="80"/>
      <c r="AZ10" s="78">
        <f t="shared" si="20"/>
        <v>0</v>
      </c>
      <c r="BA10" s="80"/>
      <c r="BB10" s="78">
        <f t="shared" si="21"/>
        <v>0</v>
      </c>
      <c r="BC10" s="80"/>
      <c r="BD10" s="78">
        <f t="shared" si="22"/>
        <v>0</v>
      </c>
      <c r="BE10" s="80"/>
      <c r="BF10" s="78">
        <f t="shared" si="23"/>
        <v>0</v>
      </c>
      <c r="BG10" s="80"/>
      <c r="BH10" s="78">
        <f t="shared" si="24"/>
        <v>0</v>
      </c>
      <c r="BI10" s="80"/>
      <c r="BJ10" s="78">
        <f t="shared" si="25"/>
        <v>0</v>
      </c>
      <c r="BK10" s="80"/>
      <c r="BL10" s="78">
        <f t="shared" si="26"/>
        <v>0</v>
      </c>
      <c r="BM10" s="80"/>
      <c r="BN10" s="78">
        <f t="shared" si="27"/>
        <v>0</v>
      </c>
      <c r="BO10" s="80"/>
      <c r="BP10" s="78">
        <f t="shared" si="28"/>
        <v>0</v>
      </c>
      <c r="BQ10" s="80"/>
      <c r="BR10" s="78">
        <f t="shared" si="31"/>
        <v>0</v>
      </c>
      <c r="BS10" s="73"/>
      <c r="BT10" s="81">
        <f t="shared" si="29"/>
        <v>0</v>
      </c>
      <c r="BU10" s="81"/>
      <c r="BV10" s="81"/>
      <c r="BW10" s="81"/>
      <c r="BX10" s="81">
        <f t="shared" si="0"/>
        <v>0</v>
      </c>
    </row>
    <row r="11" spans="1:76" s="82" customFormat="1" x14ac:dyDescent="0.3">
      <c r="A11" s="73">
        <v>64166</v>
      </c>
      <c r="B11" s="74" t="s">
        <v>51</v>
      </c>
      <c r="C11" s="74" t="s">
        <v>39</v>
      </c>
      <c r="D11" s="74" t="s">
        <v>52</v>
      </c>
      <c r="E11" s="74" t="str">
        <f>INDEX('[1]Branch code'!F:F,MATCH(D11,'[1]Branch code'!D:D,0))</f>
        <v>Occhialera Filipinas, Inc.</v>
      </c>
      <c r="F11" s="75" t="str">
        <f>INDEX('[1]Region rate'!B:B,MATCH(D11,'[1]Region rate'!A:A,0))</f>
        <v>NCR</v>
      </c>
      <c r="G11" s="76">
        <f>INDEX('[1]Region rate'!C:C,MATCH(F11,'[1]Region rate'!B:B,0))</f>
        <v>789.10576923076928</v>
      </c>
      <c r="H11" s="77">
        <f t="shared" si="1"/>
        <v>98.63822115384616</v>
      </c>
      <c r="I11" s="78"/>
      <c r="J11" s="78"/>
      <c r="K11" s="79">
        <v>8</v>
      </c>
      <c r="L11" s="79">
        <f>INDEX([1]Allowance!B:B,MATCH(F11,[1]Allowance!A:A,0))</f>
        <v>50</v>
      </c>
      <c r="M11" s="79"/>
      <c r="N11" s="79"/>
      <c r="O11" s="79"/>
      <c r="P11" s="79">
        <v>104</v>
      </c>
      <c r="Q11" s="78">
        <f t="shared" si="2"/>
        <v>10258.375</v>
      </c>
      <c r="R11" s="78">
        <f t="shared" si="3"/>
        <v>650</v>
      </c>
      <c r="S11" s="78">
        <f t="shared" si="4"/>
        <v>0</v>
      </c>
      <c r="T11" s="78">
        <f t="shared" si="5"/>
        <v>0</v>
      </c>
      <c r="U11" s="79"/>
      <c r="V11" s="78">
        <f t="shared" si="30"/>
        <v>0</v>
      </c>
      <c r="W11" s="80"/>
      <c r="X11" s="80">
        <f t="shared" si="6"/>
        <v>0</v>
      </c>
      <c r="Y11" s="79">
        <v>2.5</v>
      </c>
      <c r="Z11" s="78">
        <f t="shared" si="7"/>
        <v>308.24444110576928</v>
      </c>
      <c r="AA11" s="80"/>
      <c r="AB11" s="78">
        <f t="shared" si="8"/>
        <v>0</v>
      </c>
      <c r="AC11" s="79"/>
      <c r="AD11" s="78">
        <f t="shared" si="9"/>
        <v>0</v>
      </c>
      <c r="AE11" s="80"/>
      <c r="AF11" s="78">
        <f t="shared" si="10"/>
        <v>0</v>
      </c>
      <c r="AG11" s="79"/>
      <c r="AH11" s="78">
        <f t="shared" si="11"/>
        <v>0</v>
      </c>
      <c r="AI11" s="80"/>
      <c r="AJ11" s="78">
        <f t="shared" si="12"/>
        <v>0</v>
      </c>
      <c r="AK11" s="80"/>
      <c r="AL11" s="78">
        <f t="shared" si="13"/>
        <v>0</v>
      </c>
      <c r="AM11" s="80"/>
      <c r="AN11" s="78">
        <f t="shared" si="14"/>
        <v>0</v>
      </c>
      <c r="AO11" s="80"/>
      <c r="AP11" s="78">
        <f t="shared" si="15"/>
        <v>0</v>
      </c>
      <c r="AQ11" s="80"/>
      <c r="AR11" s="78">
        <f t="shared" si="16"/>
        <v>0</v>
      </c>
      <c r="AS11" s="80"/>
      <c r="AT11" s="78">
        <f t="shared" si="17"/>
        <v>0</v>
      </c>
      <c r="AU11" s="80"/>
      <c r="AV11" s="78">
        <f t="shared" si="18"/>
        <v>0</v>
      </c>
      <c r="AW11" s="80"/>
      <c r="AX11" s="78">
        <f t="shared" si="19"/>
        <v>0</v>
      </c>
      <c r="AY11" s="80"/>
      <c r="AZ11" s="78">
        <f t="shared" si="20"/>
        <v>0</v>
      </c>
      <c r="BA11" s="80"/>
      <c r="BB11" s="78">
        <f t="shared" si="21"/>
        <v>0</v>
      </c>
      <c r="BC11" s="80"/>
      <c r="BD11" s="78">
        <f t="shared" si="22"/>
        <v>0</v>
      </c>
      <c r="BE11" s="80"/>
      <c r="BF11" s="78">
        <f t="shared" si="23"/>
        <v>0</v>
      </c>
      <c r="BG11" s="80"/>
      <c r="BH11" s="78">
        <f t="shared" si="24"/>
        <v>0</v>
      </c>
      <c r="BI11" s="80"/>
      <c r="BJ11" s="78">
        <f t="shared" si="25"/>
        <v>0</v>
      </c>
      <c r="BK11" s="80"/>
      <c r="BL11" s="78">
        <f t="shared" si="26"/>
        <v>0</v>
      </c>
      <c r="BM11" s="80"/>
      <c r="BN11" s="78">
        <f t="shared" si="27"/>
        <v>0</v>
      </c>
      <c r="BO11" s="80"/>
      <c r="BP11" s="78">
        <f t="shared" si="28"/>
        <v>0</v>
      </c>
      <c r="BQ11" s="80"/>
      <c r="BR11" s="78">
        <f t="shared" si="31"/>
        <v>0</v>
      </c>
      <c r="BS11" s="73"/>
      <c r="BT11" s="81">
        <f t="shared" si="29"/>
        <v>0</v>
      </c>
      <c r="BU11" s="81"/>
      <c r="BV11" s="81"/>
      <c r="BW11" s="81"/>
      <c r="BX11" s="81">
        <f t="shared" si="0"/>
        <v>10566.61944110577</v>
      </c>
    </row>
    <row r="12" spans="1:76" s="82" customFormat="1" x14ac:dyDescent="0.3">
      <c r="A12" s="73">
        <v>63847</v>
      </c>
      <c r="B12" s="74" t="s">
        <v>53</v>
      </c>
      <c r="C12" s="74" t="s">
        <v>39</v>
      </c>
      <c r="D12" s="74" t="s">
        <v>54</v>
      </c>
      <c r="E12" s="74" t="str">
        <f>INDEX('[1]Branch code'!F:F,MATCH(D12,'[1]Branch code'!D:D,0))</f>
        <v xml:space="preserve"> Indigo Visions, Inc.</v>
      </c>
      <c r="F12" s="75" t="str">
        <f>INDEX('[1]Region rate'!B:B,MATCH(D12,'[1]Region rate'!A:A,0))</f>
        <v>NCR</v>
      </c>
      <c r="G12" s="76">
        <f>INDEX('[1]Region rate'!C:C,MATCH(F12,'[1]Region rate'!B:B,0))</f>
        <v>789.10576923076928</v>
      </c>
      <c r="H12" s="77">
        <f t="shared" si="1"/>
        <v>98.63822115384616</v>
      </c>
      <c r="I12" s="78">
        <v>0.99</v>
      </c>
      <c r="J12" s="78"/>
      <c r="K12" s="79">
        <v>8</v>
      </c>
      <c r="L12" s="79">
        <f>INDEX([1]Allowance!B:B,MATCH(F12,[1]Allowance!A:A,0))</f>
        <v>50</v>
      </c>
      <c r="M12" s="79"/>
      <c r="N12" s="79"/>
      <c r="O12" s="79"/>
      <c r="P12" s="79">
        <v>103.01</v>
      </c>
      <c r="Q12" s="78">
        <f t="shared" si="2"/>
        <v>10160.723161057693</v>
      </c>
      <c r="R12" s="78">
        <f t="shared" si="3"/>
        <v>643.8125</v>
      </c>
      <c r="S12" s="78">
        <f t="shared" si="4"/>
        <v>0</v>
      </c>
      <c r="T12" s="78">
        <f t="shared" si="5"/>
        <v>0</v>
      </c>
      <c r="U12" s="79"/>
      <c r="V12" s="78">
        <f t="shared" si="30"/>
        <v>0</v>
      </c>
      <c r="W12" s="80"/>
      <c r="X12" s="80">
        <f t="shared" si="6"/>
        <v>0</v>
      </c>
      <c r="Y12" s="79"/>
      <c r="Z12" s="78">
        <f t="shared" si="7"/>
        <v>0</v>
      </c>
      <c r="AA12" s="80"/>
      <c r="AB12" s="78">
        <f t="shared" si="8"/>
        <v>0</v>
      </c>
      <c r="AC12" s="79"/>
      <c r="AD12" s="78">
        <f t="shared" si="9"/>
        <v>0</v>
      </c>
      <c r="AE12" s="80"/>
      <c r="AF12" s="78">
        <f t="shared" si="10"/>
        <v>0</v>
      </c>
      <c r="AG12" s="79"/>
      <c r="AH12" s="78">
        <f t="shared" si="11"/>
        <v>0</v>
      </c>
      <c r="AI12" s="80"/>
      <c r="AJ12" s="78">
        <f t="shared" si="12"/>
        <v>0</v>
      </c>
      <c r="AK12" s="80"/>
      <c r="AL12" s="78">
        <f t="shared" si="13"/>
        <v>0</v>
      </c>
      <c r="AM12" s="80"/>
      <c r="AN12" s="78">
        <f t="shared" si="14"/>
        <v>0</v>
      </c>
      <c r="AO12" s="80"/>
      <c r="AP12" s="78">
        <f t="shared" si="15"/>
        <v>0</v>
      </c>
      <c r="AQ12" s="80"/>
      <c r="AR12" s="78">
        <f t="shared" si="16"/>
        <v>0</v>
      </c>
      <c r="AS12" s="80"/>
      <c r="AT12" s="78">
        <f t="shared" si="17"/>
        <v>0</v>
      </c>
      <c r="AU12" s="80"/>
      <c r="AV12" s="78">
        <f t="shared" si="18"/>
        <v>0</v>
      </c>
      <c r="AW12" s="80"/>
      <c r="AX12" s="78">
        <f t="shared" si="19"/>
        <v>0</v>
      </c>
      <c r="AY12" s="80"/>
      <c r="AZ12" s="78">
        <f t="shared" si="20"/>
        <v>0</v>
      </c>
      <c r="BA12" s="80"/>
      <c r="BB12" s="78">
        <f t="shared" si="21"/>
        <v>0</v>
      </c>
      <c r="BC12" s="80"/>
      <c r="BD12" s="78">
        <f t="shared" si="22"/>
        <v>0</v>
      </c>
      <c r="BE12" s="80"/>
      <c r="BF12" s="78">
        <f t="shared" si="23"/>
        <v>0</v>
      </c>
      <c r="BG12" s="80"/>
      <c r="BH12" s="78">
        <f t="shared" si="24"/>
        <v>0</v>
      </c>
      <c r="BI12" s="80"/>
      <c r="BJ12" s="78">
        <f t="shared" si="25"/>
        <v>0</v>
      </c>
      <c r="BK12" s="80"/>
      <c r="BL12" s="78">
        <f t="shared" si="26"/>
        <v>0</v>
      </c>
      <c r="BM12" s="80"/>
      <c r="BN12" s="78">
        <f t="shared" si="27"/>
        <v>0</v>
      </c>
      <c r="BO12" s="80"/>
      <c r="BP12" s="78">
        <f t="shared" si="28"/>
        <v>0</v>
      </c>
      <c r="BQ12" s="80"/>
      <c r="BR12" s="78">
        <f t="shared" si="31"/>
        <v>0</v>
      </c>
      <c r="BS12" s="73"/>
      <c r="BT12" s="81">
        <f t="shared" si="29"/>
        <v>0</v>
      </c>
      <c r="BU12" s="81"/>
      <c r="BV12" s="81"/>
      <c r="BW12" s="81"/>
      <c r="BX12" s="81">
        <f t="shared" si="0"/>
        <v>10160.723161057693</v>
      </c>
    </row>
    <row r="13" spans="1:76" s="82" customFormat="1" x14ac:dyDescent="0.3">
      <c r="A13" s="73">
        <v>63434</v>
      </c>
      <c r="B13" s="74" t="s">
        <v>55</v>
      </c>
      <c r="C13" s="74" t="s">
        <v>39</v>
      </c>
      <c r="D13" s="74" t="s">
        <v>56</v>
      </c>
      <c r="E13" s="74" t="str">
        <f>INDEX('[1]Branch code'!F:F,MATCH(D13,'[1]Branch code'!D:D,0))</f>
        <v xml:space="preserve"> Executive Optical, Inc.</v>
      </c>
      <c r="F13" s="75" t="str">
        <f>INDEX('[1]Region rate'!B:B,MATCH(D13,'[1]Region rate'!A:A,0))</f>
        <v>NCR</v>
      </c>
      <c r="G13" s="76">
        <f>INDEX('[1]Region rate'!C:C,MATCH(F13,'[1]Region rate'!B:B,0))</f>
        <v>789.10576923076928</v>
      </c>
      <c r="H13" s="77">
        <f t="shared" si="1"/>
        <v>98.63822115384616</v>
      </c>
      <c r="I13" s="78"/>
      <c r="J13" s="78">
        <v>4</v>
      </c>
      <c r="K13" s="79">
        <v>8</v>
      </c>
      <c r="L13" s="79">
        <f>INDEX([1]Allowance!B:B,MATCH(F13,[1]Allowance!A:A,0))</f>
        <v>50</v>
      </c>
      <c r="M13" s="79"/>
      <c r="N13" s="79"/>
      <c r="O13" s="79"/>
      <c r="P13" s="79">
        <v>100</v>
      </c>
      <c r="Q13" s="78">
        <f t="shared" si="2"/>
        <v>9863.8221153846152</v>
      </c>
      <c r="R13" s="78">
        <f t="shared" si="3"/>
        <v>625</v>
      </c>
      <c r="S13" s="78">
        <f t="shared" si="4"/>
        <v>0</v>
      </c>
      <c r="T13" s="78">
        <f t="shared" si="5"/>
        <v>0</v>
      </c>
      <c r="U13" s="79"/>
      <c r="V13" s="78">
        <f t="shared" si="30"/>
        <v>0</v>
      </c>
      <c r="W13" s="80">
        <v>0.75</v>
      </c>
      <c r="X13" s="80">
        <f t="shared" si="6"/>
        <v>73.978665865384613</v>
      </c>
      <c r="Y13" s="79">
        <v>2.5</v>
      </c>
      <c r="Z13" s="78">
        <f t="shared" si="7"/>
        <v>308.24444110576928</v>
      </c>
      <c r="AA13" s="80"/>
      <c r="AB13" s="78">
        <f t="shared" si="8"/>
        <v>0</v>
      </c>
      <c r="AC13" s="79"/>
      <c r="AD13" s="78">
        <f t="shared" si="9"/>
        <v>0</v>
      </c>
      <c r="AE13" s="80"/>
      <c r="AF13" s="78">
        <f t="shared" si="10"/>
        <v>0</v>
      </c>
      <c r="AG13" s="79"/>
      <c r="AH13" s="78">
        <f t="shared" si="11"/>
        <v>0</v>
      </c>
      <c r="AI13" s="80"/>
      <c r="AJ13" s="78">
        <f t="shared" si="12"/>
        <v>0</v>
      </c>
      <c r="AK13" s="80"/>
      <c r="AL13" s="78">
        <f t="shared" si="13"/>
        <v>0</v>
      </c>
      <c r="AM13" s="80"/>
      <c r="AN13" s="78">
        <f t="shared" si="14"/>
        <v>0</v>
      </c>
      <c r="AO13" s="80"/>
      <c r="AP13" s="78">
        <f t="shared" si="15"/>
        <v>0</v>
      </c>
      <c r="AQ13" s="80"/>
      <c r="AR13" s="78">
        <f t="shared" si="16"/>
        <v>0</v>
      </c>
      <c r="AS13" s="80"/>
      <c r="AT13" s="78">
        <f t="shared" si="17"/>
        <v>0</v>
      </c>
      <c r="AU13" s="80"/>
      <c r="AV13" s="78">
        <f t="shared" si="18"/>
        <v>0</v>
      </c>
      <c r="AW13" s="80"/>
      <c r="AX13" s="78">
        <f t="shared" si="19"/>
        <v>0</v>
      </c>
      <c r="AY13" s="80"/>
      <c r="AZ13" s="78">
        <f t="shared" si="20"/>
        <v>0</v>
      </c>
      <c r="BA13" s="80"/>
      <c r="BB13" s="78">
        <f t="shared" si="21"/>
        <v>0</v>
      </c>
      <c r="BC13" s="80"/>
      <c r="BD13" s="78">
        <f t="shared" si="22"/>
        <v>0</v>
      </c>
      <c r="BE13" s="80"/>
      <c r="BF13" s="78">
        <f t="shared" si="23"/>
        <v>0</v>
      </c>
      <c r="BG13" s="80"/>
      <c r="BH13" s="78">
        <f t="shared" si="24"/>
        <v>0</v>
      </c>
      <c r="BI13" s="80"/>
      <c r="BJ13" s="78">
        <f t="shared" si="25"/>
        <v>0</v>
      </c>
      <c r="BK13" s="80"/>
      <c r="BL13" s="78">
        <f t="shared" si="26"/>
        <v>0</v>
      </c>
      <c r="BM13" s="80"/>
      <c r="BN13" s="78">
        <f t="shared" si="27"/>
        <v>0</v>
      </c>
      <c r="BO13" s="80"/>
      <c r="BP13" s="78">
        <f t="shared" si="28"/>
        <v>0</v>
      </c>
      <c r="BQ13" s="80"/>
      <c r="BR13" s="78">
        <f t="shared" si="31"/>
        <v>0</v>
      </c>
      <c r="BS13" s="73"/>
      <c r="BT13" s="81">
        <f t="shared" si="29"/>
        <v>0</v>
      </c>
      <c r="BU13" s="81"/>
      <c r="BV13" s="81"/>
      <c r="BW13" s="81"/>
      <c r="BX13" s="81">
        <f t="shared" si="0"/>
        <v>10098.087890625</v>
      </c>
    </row>
    <row r="14" spans="1:76" s="82" customFormat="1" x14ac:dyDescent="0.3">
      <c r="A14" s="73">
        <v>63384</v>
      </c>
      <c r="B14" s="74" t="s">
        <v>57</v>
      </c>
      <c r="C14" s="74" t="s">
        <v>39</v>
      </c>
      <c r="D14" s="74" t="s">
        <v>58</v>
      </c>
      <c r="E14" s="74" t="str">
        <f>INDEX('[1]Branch code'!F:F,MATCH(D14,'[1]Branch code'!D:D,0))</f>
        <v xml:space="preserve"> Executive Optical, Inc.</v>
      </c>
      <c r="F14" s="75" t="str">
        <f>INDEX('[1]Region rate'!B:B,MATCH(D14,'[1]Region rate'!A:A,0))</f>
        <v>NCR</v>
      </c>
      <c r="G14" s="76">
        <f>INDEX('[1]Region rate'!C:C,MATCH(F14,'[1]Region rate'!B:B,0))</f>
        <v>789.10576923076928</v>
      </c>
      <c r="H14" s="77">
        <f t="shared" si="1"/>
        <v>98.63822115384616</v>
      </c>
      <c r="I14" s="78"/>
      <c r="J14" s="78"/>
      <c r="K14" s="79">
        <v>112</v>
      </c>
      <c r="L14" s="79">
        <f>INDEX([1]Allowance!B:B,MATCH(F14,[1]Allowance!A:A,0))</f>
        <v>50</v>
      </c>
      <c r="M14" s="79"/>
      <c r="N14" s="79"/>
      <c r="O14" s="79"/>
      <c r="P14" s="79"/>
      <c r="Q14" s="78">
        <f t="shared" si="2"/>
        <v>0</v>
      </c>
      <c r="R14" s="78">
        <f t="shared" si="3"/>
        <v>0</v>
      </c>
      <c r="S14" s="78">
        <f t="shared" si="4"/>
        <v>0</v>
      </c>
      <c r="T14" s="78">
        <f t="shared" si="5"/>
        <v>0</v>
      </c>
      <c r="U14" s="79"/>
      <c r="V14" s="78">
        <f t="shared" si="30"/>
        <v>0</v>
      </c>
      <c r="W14" s="80"/>
      <c r="X14" s="80">
        <f t="shared" si="6"/>
        <v>0</v>
      </c>
      <c r="Y14" s="79"/>
      <c r="Z14" s="78">
        <f t="shared" si="7"/>
        <v>0</v>
      </c>
      <c r="AA14" s="80"/>
      <c r="AB14" s="78">
        <f t="shared" si="8"/>
        <v>0</v>
      </c>
      <c r="AC14" s="79"/>
      <c r="AD14" s="78">
        <f t="shared" si="9"/>
        <v>0</v>
      </c>
      <c r="AE14" s="80"/>
      <c r="AF14" s="78">
        <f t="shared" si="10"/>
        <v>0</v>
      </c>
      <c r="AG14" s="79"/>
      <c r="AH14" s="78">
        <f t="shared" si="11"/>
        <v>0</v>
      </c>
      <c r="AI14" s="80"/>
      <c r="AJ14" s="78">
        <f t="shared" si="12"/>
        <v>0</v>
      </c>
      <c r="AK14" s="80"/>
      <c r="AL14" s="78">
        <f t="shared" si="13"/>
        <v>0</v>
      </c>
      <c r="AM14" s="80"/>
      <c r="AN14" s="78">
        <f t="shared" si="14"/>
        <v>0</v>
      </c>
      <c r="AO14" s="80"/>
      <c r="AP14" s="78">
        <f t="shared" si="15"/>
        <v>0</v>
      </c>
      <c r="AQ14" s="80"/>
      <c r="AR14" s="78">
        <f t="shared" si="16"/>
        <v>0</v>
      </c>
      <c r="AS14" s="80"/>
      <c r="AT14" s="78">
        <f t="shared" si="17"/>
        <v>0</v>
      </c>
      <c r="AU14" s="80"/>
      <c r="AV14" s="78">
        <f t="shared" si="18"/>
        <v>0</v>
      </c>
      <c r="AW14" s="80"/>
      <c r="AX14" s="78">
        <f t="shared" si="19"/>
        <v>0</v>
      </c>
      <c r="AY14" s="80"/>
      <c r="AZ14" s="78">
        <f t="shared" si="20"/>
        <v>0</v>
      </c>
      <c r="BA14" s="80"/>
      <c r="BB14" s="78">
        <f t="shared" si="21"/>
        <v>0</v>
      </c>
      <c r="BC14" s="80"/>
      <c r="BD14" s="78">
        <f t="shared" si="22"/>
        <v>0</v>
      </c>
      <c r="BE14" s="80"/>
      <c r="BF14" s="78">
        <f t="shared" si="23"/>
        <v>0</v>
      </c>
      <c r="BG14" s="80"/>
      <c r="BH14" s="78">
        <f t="shared" si="24"/>
        <v>0</v>
      </c>
      <c r="BI14" s="80"/>
      <c r="BJ14" s="78">
        <f t="shared" si="25"/>
        <v>0</v>
      </c>
      <c r="BK14" s="80"/>
      <c r="BL14" s="78">
        <f t="shared" si="26"/>
        <v>0</v>
      </c>
      <c r="BM14" s="80"/>
      <c r="BN14" s="78">
        <f t="shared" si="27"/>
        <v>0</v>
      </c>
      <c r="BO14" s="80"/>
      <c r="BP14" s="78">
        <f t="shared" si="28"/>
        <v>0</v>
      </c>
      <c r="BQ14" s="80"/>
      <c r="BR14" s="78">
        <f t="shared" si="31"/>
        <v>0</v>
      </c>
      <c r="BS14" s="73"/>
      <c r="BT14" s="81">
        <f t="shared" si="29"/>
        <v>0</v>
      </c>
      <c r="BU14" s="81"/>
      <c r="BV14" s="81"/>
      <c r="BW14" s="81"/>
      <c r="BX14" s="81">
        <f t="shared" si="0"/>
        <v>0</v>
      </c>
    </row>
    <row r="15" spans="1:76" s="82" customFormat="1" x14ac:dyDescent="0.3">
      <c r="A15" s="73">
        <v>64430</v>
      </c>
      <c r="B15" s="74" t="s">
        <v>59</v>
      </c>
      <c r="C15" s="74" t="s">
        <v>60</v>
      </c>
      <c r="D15" s="74" t="s">
        <v>58</v>
      </c>
      <c r="E15" s="74" t="str">
        <f>INDEX('[1]Branch code'!F:F,MATCH(D15,'[1]Branch code'!D:D,0))</f>
        <v xml:space="preserve"> Executive Optical, Inc.</v>
      </c>
      <c r="F15" s="75" t="str">
        <f>INDEX('[1]Region rate'!B:B,MATCH(D15,'[1]Region rate'!A:A,0))</f>
        <v>NCR</v>
      </c>
      <c r="G15" s="76">
        <f>INDEX('[1]Region rate'!C:C,MATCH(F15,'[1]Region rate'!B:B,0))</f>
        <v>789.10576923076928</v>
      </c>
      <c r="H15" s="77">
        <f t="shared" si="1"/>
        <v>98.63822115384616</v>
      </c>
      <c r="I15" s="78"/>
      <c r="J15" s="78"/>
      <c r="K15" s="79">
        <v>112</v>
      </c>
      <c r="L15" s="79">
        <f>INDEX([1]Allowance!B:B,MATCH(F15,[1]Allowance!A:A,0))</f>
        <v>50</v>
      </c>
      <c r="M15" s="79"/>
      <c r="N15" s="79"/>
      <c r="O15" s="79"/>
      <c r="P15" s="79"/>
      <c r="Q15" s="78">
        <f t="shared" si="2"/>
        <v>0</v>
      </c>
      <c r="R15" s="78">
        <f t="shared" si="3"/>
        <v>0</v>
      </c>
      <c r="S15" s="78">
        <f t="shared" si="4"/>
        <v>0</v>
      </c>
      <c r="T15" s="78">
        <f t="shared" si="5"/>
        <v>0</v>
      </c>
      <c r="U15" s="79"/>
      <c r="V15" s="78">
        <f t="shared" si="30"/>
        <v>0</v>
      </c>
      <c r="W15" s="80"/>
      <c r="X15" s="80">
        <f t="shared" si="6"/>
        <v>0</v>
      </c>
      <c r="Y15" s="79"/>
      <c r="Z15" s="78">
        <f t="shared" si="7"/>
        <v>0</v>
      </c>
      <c r="AA15" s="80"/>
      <c r="AB15" s="78">
        <f t="shared" si="8"/>
        <v>0</v>
      </c>
      <c r="AC15" s="79"/>
      <c r="AD15" s="78">
        <f t="shared" si="9"/>
        <v>0</v>
      </c>
      <c r="AE15" s="80"/>
      <c r="AF15" s="78">
        <f t="shared" si="10"/>
        <v>0</v>
      </c>
      <c r="AG15" s="79"/>
      <c r="AH15" s="78">
        <f t="shared" si="11"/>
        <v>0</v>
      </c>
      <c r="AI15" s="80"/>
      <c r="AJ15" s="78">
        <f t="shared" si="12"/>
        <v>0</v>
      </c>
      <c r="AK15" s="80"/>
      <c r="AL15" s="78">
        <f t="shared" si="13"/>
        <v>0</v>
      </c>
      <c r="AM15" s="80"/>
      <c r="AN15" s="78">
        <f t="shared" si="14"/>
        <v>0</v>
      </c>
      <c r="AO15" s="80"/>
      <c r="AP15" s="78">
        <f t="shared" si="15"/>
        <v>0</v>
      </c>
      <c r="AQ15" s="80"/>
      <c r="AR15" s="78">
        <f t="shared" si="16"/>
        <v>0</v>
      </c>
      <c r="AS15" s="80"/>
      <c r="AT15" s="78">
        <f t="shared" si="17"/>
        <v>0</v>
      </c>
      <c r="AU15" s="80"/>
      <c r="AV15" s="78">
        <f t="shared" si="18"/>
        <v>0</v>
      </c>
      <c r="AW15" s="80"/>
      <c r="AX15" s="78">
        <f t="shared" si="19"/>
        <v>0</v>
      </c>
      <c r="AY15" s="80"/>
      <c r="AZ15" s="78">
        <f t="shared" si="20"/>
        <v>0</v>
      </c>
      <c r="BA15" s="80"/>
      <c r="BB15" s="78">
        <f t="shared" si="21"/>
        <v>0</v>
      </c>
      <c r="BC15" s="80"/>
      <c r="BD15" s="78">
        <f t="shared" si="22"/>
        <v>0</v>
      </c>
      <c r="BE15" s="80"/>
      <c r="BF15" s="78">
        <f t="shared" si="23"/>
        <v>0</v>
      </c>
      <c r="BG15" s="80"/>
      <c r="BH15" s="78">
        <f t="shared" si="24"/>
        <v>0</v>
      </c>
      <c r="BI15" s="80"/>
      <c r="BJ15" s="78">
        <f t="shared" si="25"/>
        <v>0</v>
      </c>
      <c r="BK15" s="80"/>
      <c r="BL15" s="78">
        <f t="shared" si="26"/>
        <v>0</v>
      </c>
      <c r="BM15" s="80"/>
      <c r="BN15" s="78">
        <f t="shared" si="27"/>
        <v>0</v>
      </c>
      <c r="BO15" s="80"/>
      <c r="BP15" s="78">
        <f t="shared" si="28"/>
        <v>0</v>
      </c>
      <c r="BQ15" s="80"/>
      <c r="BR15" s="78">
        <f t="shared" si="31"/>
        <v>0</v>
      </c>
      <c r="BS15" s="73"/>
      <c r="BT15" s="81">
        <f t="shared" si="29"/>
        <v>0</v>
      </c>
      <c r="BU15" s="81"/>
      <c r="BV15" s="81"/>
      <c r="BW15" s="81"/>
      <c r="BX15" s="81">
        <f t="shared" si="0"/>
        <v>0</v>
      </c>
    </row>
    <row r="16" spans="1:76" s="82" customFormat="1" x14ac:dyDescent="0.3">
      <c r="A16" s="73">
        <v>37643</v>
      </c>
      <c r="B16" s="74" t="s">
        <v>61</v>
      </c>
      <c r="C16" s="74" t="s">
        <v>39</v>
      </c>
      <c r="D16" s="74" t="s">
        <v>62</v>
      </c>
      <c r="E16" s="74" t="str">
        <f>INDEX('[1]Branch code'!F:F,MATCH(D16,'[1]Branch code'!D:D,0))</f>
        <v xml:space="preserve"> Fun Optics, Inc.</v>
      </c>
      <c r="F16" s="75">
        <f>INDEX('[1]Region rate'!B:B,MATCH(D16,'[1]Region rate'!A:A,0))</f>
        <v>6</v>
      </c>
      <c r="G16" s="76">
        <f>INDEX('[1]Region rate'!C:C,MATCH(F16,'[1]Region rate'!B:B,0))</f>
        <v>628.57500000000005</v>
      </c>
      <c r="H16" s="77">
        <f t="shared" si="1"/>
        <v>78.571875000000006</v>
      </c>
      <c r="I16" s="78"/>
      <c r="J16" s="78">
        <v>4</v>
      </c>
      <c r="K16" s="79">
        <v>16</v>
      </c>
      <c r="L16" s="79">
        <f>INDEX([1]Allowance!B:B,MATCH(F16,[1]Allowance!A:A,0))</f>
        <v>132</v>
      </c>
      <c r="M16" s="79"/>
      <c r="N16" s="79"/>
      <c r="O16" s="79"/>
      <c r="P16" s="79">
        <v>92</v>
      </c>
      <c r="Q16" s="78">
        <f t="shared" si="2"/>
        <v>7228.6125000000002</v>
      </c>
      <c r="R16" s="78">
        <f t="shared" si="3"/>
        <v>1518</v>
      </c>
      <c r="S16" s="78">
        <f t="shared" si="4"/>
        <v>0</v>
      </c>
      <c r="T16" s="78">
        <f t="shared" si="5"/>
        <v>0</v>
      </c>
      <c r="U16" s="79"/>
      <c r="V16" s="78">
        <f t="shared" si="30"/>
        <v>0</v>
      </c>
      <c r="W16" s="80"/>
      <c r="X16" s="80">
        <f t="shared" si="6"/>
        <v>0</v>
      </c>
      <c r="Y16" s="79"/>
      <c r="Z16" s="78">
        <f t="shared" si="7"/>
        <v>0</v>
      </c>
      <c r="AA16" s="80"/>
      <c r="AB16" s="78">
        <f t="shared" si="8"/>
        <v>0</v>
      </c>
      <c r="AC16" s="79"/>
      <c r="AD16" s="78">
        <f t="shared" si="9"/>
        <v>0</v>
      </c>
      <c r="AE16" s="80"/>
      <c r="AF16" s="78">
        <f t="shared" si="10"/>
        <v>0</v>
      </c>
      <c r="AG16" s="79"/>
      <c r="AH16" s="78">
        <f t="shared" si="11"/>
        <v>0</v>
      </c>
      <c r="AI16" s="80"/>
      <c r="AJ16" s="78">
        <f t="shared" si="12"/>
        <v>0</v>
      </c>
      <c r="AK16" s="80"/>
      <c r="AL16" s="78">
        <f t="shared" si="13"/>
        <v>0</v>
      </c>
      <c r="AM16" s="80"/>
      <c r="AN16" s="78">
        <f t="shared" si="14"/>
        <v>0</v>
      </c>
      <c r="AO16" s="80"/>
      <c r="AP16" s="78">
        <f t="shared" si="15"/>
        <v>0</v>
      </c>
      <c r="AQ16" s="80"/>
      <c r="AR16" s="78">
        <f t="shared" si="16"/>
        <v>0</v>
      </c>
      <c r="AS16" s="80"/>
      <c r="AT16" s="78">
        <f t="shared" si="17"/>
        <v>0</v>
      </c>
      <c r="AU16" s="80"/>
      <c r="AV16" s="78">
        <f t="shared" si="18"/>
        <v>0</v>
      </c>
      <c r="AW16" s="80"/>
      <c r="AX16" s="78">
        <f t="shared" si="19"/>
        <v>0</v>
      </c>
      <c r="AY16" s="80"/>
      <c r="AZ16" s="78">
        <f t="shared" si="20"/>
        <v>0</v>
      </c>
      <c r="BA16" s="80"/>
      <c r="BB16" s="78">
        <f t="shared" si="21"/>
        <v>0</v>
      </c>
      <c r="BC16" s="80"/>
      <c r="BD16" s="78">
        <f t="shared" si="22"/>
        <v>0</v>
      </c>
      <c r="BE16" s="80"/>
      <c r="BF16" s="78">
        <f t="shared" si="23"/>
        <v>0</v>
      </c>
      <c r="BG16" s="80"/>
      <c r="BH16" s="78">
        <f t="shared" si="24"/>
        <v>0</v>
      </c>
      <c r="BI16" s="80"/>
      <c r="BJ16" s="78">
        <f t="shared" si="25"/>
        <v>0</v>
      </c>
      <c r="BK16" s="80"/>
      <c r="BL16" s="78">
        <f t="shared" si="26"/>
        <v>0</v>
      </c>
      <c r="BM16" s="80"/>
      <c r="BN16" s="78">
        <f t="shared" si="27"/>
        <v>0</v>
      </c>
      <c r="BO16" s="80"/>
      <c r="BP16" s="78">
        <f t="shared" si="28"/>
        <v>0</v>
      </c>
      <c r="BQ16" s="80"/>
      <c r="BR16" s="78">
        <f t="shared" si="31"/>
        <v>0</v>
      </c>
      <c r="BS16" s="73"/>
      <c r="BT16" s="81">
        <f t="shared" si="29"/>
        <v>0</v>
      </c>
      <c r="BU16" s="81"/>
      <c r="BV16" s="81"/>
      <c r="BW16" s="81"/>
      <c r="BX16" s="81">
        <f t="shared" si="0"/>
        <v>7228.6125000000002</v>
      </c>
    </row>
    <row r="17" spans="1:76" s="82" customFormat="1" x14ac:dyDescent="0.3">
      <c r="A17" s="73">
        <v>37405</v>
      </c>
      <c r="B17" s="74" t="s">
        <v>63</v>
      </c>
      <c r="C17" s="74" t="s">
        <v>39</v>
      </c>
      <c r="D17" s="74" t="s">
        <v>64</v>
      </c>
      <c r="E17" s="74" t="str">
        <f>INDEX('[1]Branch code'!F:F,MATCH(D17,'[1]Branch code'!D:D,0))</f>
        <v xml:space="preserve"> Fun Optics, Inc.</v>
      </c>
      <c r="F17" s="75">
        <f>INDEX('[1]Region rate'!B:B,MATCH(D17,'[1]Region rate'!A:A,0))</f>
        <v>6</v>
      </c>
      <c r="G17" s="76">
        <f>INDEX('[1]Region rate'!C:C,MATCH(F17,'[1]Region rate'!B:B,0))</f>
        <v>628.57500000000005</v>
      </c>
      <c r="H17" s="77">
        <f t="shared" si="1"/>
        <v>78.571875000000006</v>
      </c>
      <c r="I17" s="78"/>
      <c r="J17" s="78"/>
      <c r="K17" s="79">
        <v>8</v>
      </c>
      <c r="L17" s="79">
        <f>INDEX([1]Allowance!B:B,MATCH(F17,[1]Allowance!A:A,0))</f>
        <v>132</v>
      </c>
      <c r="M17" s="79">
        <v>38.46</v>
      </c>
      <c r="N17" s="79"/>
      <c r="O17" s="79"/>
      <c r="P17" s="79">
        <v>104</v>
      </c>
      <c r="Q17" s="78">
        <f t="shared" si="2"/>
        <v>8171.4750000000004</v>
      </c>
      <c r="R17" s="78">
        <f t="shared" si="3"/>
        <v>1716</v>
      </c>
      <c r="S17" s="78">
        <f t="shared" si="4"/>
        <v>499.98</v>
      </c>
      <c r="T17" s="78">
        <f t="shared" si="5"/>
        <v>0</v>
      </c>
      <c r="U17" s="79"/>
      <c r="V17" s="78">
        <f t="shared" si="30"/>
        <v>0</v>
      </c>
      <c r="W17" s="80"/>
      <c r="X17" s="80">
        <f t="shared" si="6"/>
        <v>0</v>
      </c>
      <c r="Y17" s="79">
        <v>2.5</v>
      </c>
      <c r="Z17" s="78">
        <f t="shared" si="7"/>
        <v>245.537109375</v>
      </c>
      <c r="AA17" s="80"/>
      <c r="AB17" s="78">
        <f t="shared" si="8"/>
        <v>0</v>
      </c>
      <c r="AC17" s="79"/>
      <c r="AD17" s="78">
        <f t="shared" si="9"/>
        <v>0</v>
      </c>
      <c r="AE17" s="80"/>
      <c r="AF17" s="78">
        <f t="shared" si="10"/>
        <v>0</v>
      </c>
      <c r="AG17" s="79"/>
      <c r="AH17" s="78">
        <f t="shared" si="11"/>
        <v>0</v>
      </c>
      <c r="AI17" s="80"/>
      <c r="AJ17" s="78">
        <f t="shared" si="12"/>
        <v>0</v>
      </c>
      <c r="AK17" s="80"/>
      <c r="AL17" s="78">
        <f t="shared" si="13"/>
        <v>0</v>
      </c>
      <c r="AM17" s="80"/>
      <c r="AN17" s="78">
        <f t="shared" si="14"/>
        <v>0</v>
      </c>
      <c r="AO17" s="80"/>
      <c r="AP17" s="78">
        <f t="shared" si="15"/>
        <v>0</v>
      </c>
      <c r="AQ17" s="80"/>
      <c r="AR17" s="78">
        <f t="shared" si="16"/>
        <v>0</v>
      </c>
      <c r="AS17" s="80"/>
      <c r="AT17" s="78">
        <f t="shared" si="17"/>
        <v>0</v>
      </c>
      <c r="AU17" s="80"/>
      <c r="AV17" s="78">
        <f t="shared" si="18"/>
        <v>0</v>
      </c>
      <c r="AW17" s="80"/>
      <c r="AX17" s="78">
        <f t="shared" si="19"/>
        <v>0</v>
      </c>
      <c r="AY17" s="80"/>
      <c r="AZ17" s="78">
        <f t="shared" si="20"/>
        <v>0</v>
      </c>
      <c r="BA17" s="80"/>
      <c r="BB17" s="78">
        <f t="shared" si="21"/>
        <v>0</v>
      </c>
      <c r="BC17" s="80"/>
      <c r="BD17" s="78">
        <f t="shared" si="22"/>
        <v>0</v>
      </c>
      <c r="BE17" s="80"/>
      <c r="BF17" s="78">
        <f t="shared" si="23"/>
        <v>0</v>
      </c>
      <c r="BG17" s="80"/>
      <c r="BH17" s="78">
        <f t="shared" si="24"/>
        <v>0</v>
      </c>
      <c r="BI17" s="80"/>
      <c r="BJ17" s="78">
        <f t="shared" si="25"/>
        <v>0</v>
      </c>
      <c r="BK17" s="80"/>
      <c r="BL17" s="78">
        <f t="shared" si="26"/>
        <v>0</v>
      </c>
      <c r="BM17" s="80"/>
      <c r="BN17" s="78">
        <f t="shared" si="27"/>
        <v>0</v>
      </c>
      <c r="BO17" s="80"/>
      <c r="BP17" s="78">
        <f t="shared" si="28"/>
        <v>0</v>
      </c>
      <c r="BQ17" s="80"/>
      <c r="BR17" s="78">
        <f t="shared" si="31"/>
        <v>0</v>
      </c>
      <c r="BS17" s="73"/>
      <c r="BT17" s="81">
        <f t="shared" si="29"/>
        <v>0</v>
      </c>
      <c r="BU17" s="81"/>
      <c r="BV17" s="81"/>
      <c r="BW17" s="81"/>
      <c r="BX17" s="81">
        <f t="shared" si="0"/>
        <v>8417.0121093750004</v>
      </c>
    </row>
    <row r="18" spans="1:76" s="82" customFormat="1" x14ac:dyDescent="0.3">
      <c r="A18" s="73">
        <v>63486</v>
      </c>
      <c r="B18" s="74" t="s">
        <v>65</v>
      </c>
      <c r="C18" s="74" t="s">
        <v>39</v>
      </c>
      <c r="D18" s="74" t="s">
        <v>66</v>
      </c>
      <c r="E18" s="74" t="str">
        <f>INDEX('[1]Branch code'!F:F,MATCH(D18,'[1]Branch code'!D:D,0))</f>
        <v>Spectacle Trolley Corp.</v>
      </c>
      <c r="F18" s="75">
        <f>INDEX('[1]Region rate'!B:B,MATCH(D18,'[1]Region rate'!A:A,0))</f>
        <v>11</v>
      </c>
      <c r="G18" s="76">
        <f>INDEX('[1]Region rate'!C:C,MATCH(F18,'[1]Region rate'!B:B,0))</f>
        <v>589.26217948717954</v>
      </c>
      <c r="H18" s="77">
        <f t="shared" si="1"/>
        <v>73.657772435897442</v>
      </c>
      <c r="I18" s="78">
        <v>0.28000000000000003</v>
      </c>
      <c r="J18" s="78"/>
      <c r="K18" s="79"/>
      <c r="L18" s="79">
        <f>INDEX([1]Allowance!B:B,MATCH(F18,[1]Allowance!A:A,0))</f>
        <v>164</v>
      </c>
      <c r="M18" s="79"/>
      <c r="N18" s="79"/>
      <c r="O18" s="79"/>
      <c r="P18" s="79">
        <v>111.72</v>
      </c>
      <c r="Q18" s="78">
        <f t="shared" si="2"/>
        <v>8229.0463365384621</v>
      </c>
      <c r="R18" s="78">
        <f t="shared" si="3"/>
        <v>2290.2599999999998</v>
      </c>
      <c r="S18" s="78">
        <f t="shared" si="4"/>
        <v>0</v>
      </c>
      <c r="T18" s="78">
        <f t="shared" si="5"/>
        <v>0</v>
      </c>
      <c r="U18" s="79"/>
      <c r="V18" s="78">
        <f t="shared" si="30"/>
        <v>0</v>
      </c>
      <c r="W18" s="80"/>
      <c r="X18" s="80">
        <f t="shared" si="6"/>
        <v>0</v>
      </c>
      <c r="Y18" s="79">
        <v>4</v>
      </c>
      <c r="Z18" s="78">
        <f t="shared" si="7"/>
        <v>368.28886217948718</v>
      </c>
      <c r="AA18" s="80"/>
      <c r="AB18" s="78">
        <f t="shared" si="8"/>
        <v>0</v>
      </c>
      <c r="AC18" s="79"/>
      <c r="AD18" s="78">
        <f t="shared" si="9"/>
        <v>0</v>
      </c>
      <c r="AE18" s="80"/>
      <c r="AF18" s="78">
        <f t="shared" si="10"/>
        <v>0</v>
      </c>
      <c r="AG18" s="79"/>
      <c r="AH18" s="78">
        <f t="shared" si="11"/>
        <v>0</v>
      </c>
      <c r="AI18" s="80"/>
      <c r="AJ18" s="78">
        <f t="shared" si="12"/>
        <v>0</v>
      </c>
      <c r="AK18" s="80"/>
      <c r="AL18" s="78">
        <f t="shared" si="13"/>
        <v>0</v>
      </c>
      <c r="AM18" s="80"/>
      <c r="AN18" s="78">
        <f t="shared" si="14"/>
        <v>0</v>
      </c>
      <c r="AO18" s="80"/>
      <c r="AP18" s="78">
        <f t="shared" si="15"/>
        <v>0</v>
      </c>
      <c r="AQ18" s="80"/>
      <c r="AR18" s="78">
        <f t="shared" si="16"/>
        <v>0</v>
      </c>
      <c r="AS18" s="80"/>
      <c r="AT18" s="78">
        <f t="shared" si="17"/>
        <v>0</v>
      </c>
      <c r="AU18" s="80"/>
      <c r="AV18" s="78">
        <f t="shared" si="18"/>
        <v>0</v>
      </c>
      <c r="AW18" s="80"/>
      <c r="AX18" s="78">
        <f t="shared" si="19"/>
        <v>0</v>
      </c>
      <c r="AY18" s="80"/>
      <c r="AZ18" s="78">
        <f t="shared" si="20"/>
        <v>0</v>
      </c>
      <c r="BA18" s="80"/>
      <c r="BB18" s="78">
        <f t="shared" si="21"/>
        <v>0</v>
      </c>
      <c r="BC18" s="80"/>
      <c r="BD18" s="78">
        <f t="shared" si="22"/>
        <v>0</v>
      </c>
      <c r="BE18" s="80"/>
      <c r="BF18" s="78">
        <f t="shared" si="23"/>
        <v>0</v>
      </c>
      <c r="BG18" s="80"/>
      <c r="BH18" s="78">
        <f t="shared" si="24"/>
        <v>0</v>
      </c>
      <c r="BI18" s="80"/>
      <c r="BJ18" s="78">
        <f t="shared" si="25"/>
        <v>0</v>
      </c>
      <c r="BK18" s="80"/>
      <c r="BL18" s="78">
        <f t="shared" si="26"/>
        <v>0</v>
      </c>
      <c r="BM18" s="80"/>
      <c r="BN18" s="78">
        <f t="shared" si="27"/>
        <v>0</v>
      </c>
      <c r="BO18" s="80"/>
      <c r="BP18" s="78">
        <f t="shared" si="28"/>
        <v>0</v>
      </c>
      <c r="BQ18" s="80"/>
      <c r="BR18" s="78">
        <f t="shared" si="31"/>
        <v>0</v>
      </c>
      <c r="BS18" s="73"/>
      <c r="BT18" s="81">
        <f t="shared" si="29"/>
        <v>0</v>
      </c>
      <c r="BU18" s="81"/>
      <c r="BV18" s="81"/>
      <c r="BW18" s="81"/>
      <c r="BX18" s="81">
        <f t="shared" si="0"/>
        <v>8597.3351987179485</v>
      </c>
    </row>
    <row r="19" spans="1:76" s="82" customFormat="1" x14ac:dyDescent="0.3">
      <c r="A19" s="73">
        <v>63239</v>
      </c>
      <c r="B19" s="74" t="s">
        <v>67</v>
      </c>
      <c r="C19" s="74" t="s">
        <v>68</v>
      </c>
      <c r="D19" s="74" t="s">
        <v>69</v>
      </c>
      <c r="E19" s="74" t="str">
        <f>INDEX('[1]Branch code'!F:F,MATCH(D19,'[1]Branch code'!D:D,0))</f>
        <v xml:space="preserve"> Occhialli, Inc.</v>
      </c>
      <c r="F19" s="75">
        <f>INDEX('[1]Region rate'!B:B,MATCH(D19,'[1]Region rate'!A:A,0))</f>
        <v>11</v>
      </c>
      <c r="G19" s="76">
        <f>INDEX('[1]Region rate'!C:C,MATCH(F19,'[1]Region rate'!B:B,0))</f>
        <v>589.26217948717954</v>
      </c>
      <c r="H19" s="77">
        <f t="shared" si="1"/>
        <v>73.657772435897442</v>
      </c>
      <c r="I19" s="78">
        <v>0.03</v>
      </c>
      <c r="J19" s="78"/>
      <c r="K19" s="79"/>
      <c r="L19" s="79">
        <f>INDEX([1]Allowance!B:B,MATCH(F19,[1]Allowance!A:A,0))</f>
        <v>164</v>
      </c>
      <c r="M19" s="79">
        <v>38.46</v>
      </c>
      <c r="N19" s="79"/>
      <c r="O19" s="79"/>
      <c r="P19" s="79">
        <v>103.97</v>
      </c>
      <c r="Q19" s="78">
        <f t="shared" si="2"/>
        <v>7658.1986001602572</v>
      </c>
      <c r="R19" s="78">
        <f t="shared" si="3"/>
        <v>2131.3849999999998</v>
      </c>
      <c r="S19" s="78">
        <f t="shared" si="4"/>
        <v>499.83577500000001</v>
      </c>
      <c r="T19" s="78">
        <f t="shared" si="5"/>
        <v>0</v>
      </c>
      <c r="U19" s="79"/>
      <c r="V19" s="78">
        <f t="shared" si="30"/>
        <v>0</v>
      </c>
      <c r="W19" s="80">
        <v>0.02</v>
      </c>
      <c r="X19" s="80">
        <f t="shared" si="6"/>
        <v>1.4731554487179488</v>
      </c>
      <c r="Y19" s="79">
        <v>1</v>
      </c>
      <c r="Z19" s="78">
        <f t="shared" si="7"/>
        <v>92.072215544871796</v>
      </c>
      <c r="AA19" s="80"/>
      <c r="AB19" s="78">
        <f t="shared" si="8"/>
        <v>0</v>
      </c>
      <c r="AC19" s="79"/>
      <c r="AD19" s="78">
        <f t="shared" si="9"/>
        <v>0</v>
      </c>
      <c r="AE19" s="80"/>
      <c r="AF19" s="78">
        <f t="shared" si="10"/>
        <v>0</v>
      </c>
      <c r="AG19" s="79"/>
      <c r="AH19" s="78">
        <f t="shared" si="11"/>
        <v>0</v>
      </c>
      <c r="AI19" s="80"/>
      <c r="AJ19" s="78">
        <f t="shared" si="12"/>
        <v>0</v>
      </c>
      <c r="AK19" s="80"/>
      <c r="AL19" s="78">
        <f t="shared" si="13"/>
        <v>0</v>
      </c>
      <c r="AM19" s="80"/>
      <c r="AN19" s="78">
        <f t="shared" si="14"/>
        <v>0</v>
      </c>
      <c r="AO19" s="80"/>
      <c r="AP19" s="78">
        <f t="shared" si="15"/>
        <v>0</v>
      </c>
      <c r="AQ19" s="80"/>
      <c r="AR19" s="78">
        <f t="shared" si="16"/>
        <v>0</v>
      </c>
      <c r="AS19" s="80"/>
      <c r="AT19" s="78">
        <f t="shared" si="17"/>
        <v>0</v>
      </c>
      <c r="AU19" s="80"/>
      <c r="AV19" s="78">
        <f t="shared" si="18"/>
        <v>0</v>
      </c>
      <c r="AW19" s="80"/>
      <c r="AX19" s="78">
        <f t="shared" si="19"/>
        <v>0</v>
      </c>
      <c r="AY19" s="80"/>
      <c r="AZ19" s="78">
        <f t="shared" si="20"/>
        <v>0</v>
      </c>
      <c r="BA19" s="80"/>
      <c r="BB19" s="78">
        <f t="shared" si="21"/>
        <v>0</v>
      </c>
      <c r="BC19" s="80"/>
      <c r="BD19" s="78">
        <f t="shared" si="22"/>
        <v>0</v>
      </c>
      <c r="BE19" s="80"/>
      <c r="BF19" s="78">
        <f t="shared" si="23"/>
        <v>0</v>
      </c>
      <c r="BG19" s="80"/>
      <c r="BH19" s="78">
        <f t="shared" si="24"/>
        <v>0</v>
      </c>
      <c r="BI19" s="80"/>
      <c r="BJ19" s="78">
        <f t="shared" si="25"/>
        <v>0</v>
      </c>
      <c r="BK19" s="80"/>
      <c r="BL19" s="78">
        <f t="shared" si="26"/>
        <v>0</v>
      </c>
      <c r="BM19" s="80"/>
      <c r="BN19" s="78">
        <f t="shared" si="27"/>
        <v>0</v>
      </c>
      <c r="BO19" s="80"/>
      <c r="BP19" s="78">
        <f t="shared" si="28"/>
        <v>0</v>
      </c>
      <c r="BQ19" s="80"/>
      <c r="BR19" s="78">
        <f t="shared" si="31"/>
        <v>0</v>
      </c>
      <c r="BS19" s="73"/>
      <c r="BT19" s="81">
        <f t="shared" si="29"/>
        <v>0</v>
      </c>
      <c r="BU19" s="81"/>
      <c r="BV19" s="81"/>
      <c r="BW19" s="81"/>
      <c r="BX19" s="81">
        <f t="shared" si="0"/>
        <v>7748.7976602564113</v>
      </c>
    </row>
    <row r="20" spans="1:76" s="82" customFormat="1" x14ac:dyDescent="0.3">
      <c r="A20" s="73">
        <v>63277</v>
      </c>
      <c r="B20" s="74" t="s">
        <v>70</v>
      </c>
      <c r="C20" s="74" t="s">
        <v>68</v>
      </c>
      <c r="D20" s="74" t="s">
        <v>69</v>
      </c>
      <c r="E20" s="74" t="str">
        <f>INDEX('[1]Branch code'!F:F,MATCH(D20,'[1]Branch code'!D:D,0))</f>
        <v xml:space="preserve"> Occhialli, Inc.</v>
      </c>
      <c r="F20" s="75">
        <f>INDEX('[1]Region rate'!B:B,MATCH(D20,'[1]Region rate'!A:A,0))</f>
        <v>11</v>
      </c>
      <c r="G20" s="76">
        <f>INDEX('[1]Region rate'!C:C,MATCH(F20,'[1]Region rate'!B:B,0))</f>
        <v>589.26217948717954</v>
      </c>
      <c r="H20" s="77">
        <f t="shared" si="1"/>
        <v>73.657772435897442</v>
      </c>
      <c r="I20" s="78"/>
      <c r="J20" s="78"/>
      <c r="K20" s="79"/>
      <c r="L20" s="79">
        <f>INDEX([1]Allowance!B:B,MATCH(F20,[1]Allowance!A:A,0))</f>
        <v>164</v>
      </c>
      <c r="M20" s="79">
        <v>38.46</v>
      </c>
      <c r="N20" s="79"/>
      <c r="O20" s="79"/>
      <c r="P20" s="79">
        <v>112</v>
      </c>
      <c r="Q20" s="78">
        <f t="shared" si="2"/>
        <v>8249.670512820514</v>
      </c>
      <c r="R20" s="78">
        <f t="shared" si="3"/>
        <v>2296</v>
      </c>
      <c r="S20" s="78">
        <f t="shared" si="4"/>
        <v>538.44000000000005</v>
      </c>
      <c r="T20" s="78">
        <f t="shared" si="5"/>
        <v>0</v>
      </c>
      <c r="U20" s="79"/>
      <c r="V20" s="78">
        <f t="shared" si="30"/>
        <v>0</v>
      </c>
      <c r="W20" s="80">
        <v>0.42</v>
      </c>
      <c r="X20" s="80">
        <f t="shared" si="6"/>
        <v>30.936264423076924</v>
      </c>
      <c r="Y20" s="79">
        <v>3</v>
      </c>
      <c r="Z20" s="78">
        <f t="shared" si="7"/>
        <v>276.21664663461536</v>
      </c>
      <c r="AA20" s="80"/>
      <c r="AB20" s="78">
        <f t="shared" si="8"/>
        <v>0</v>
      </c>
      <c r="AC20" s="79"/>
      <c r="AD20" s="78">
        <f t="shared" si="9"/>
        <v>0</v>
      </c>
      <c r="AE20" s="80"/>
      <c r="AF20" s="78">
        <f t="shared" si="10"/>
        <v>0</v>
      </c>
      <c r="AG20" s="79"/>
      <c r="AH20" s="78">
        <f t="shared" si="11"/>
        <v>0</v>
      </c>
      <c r="AI20" s="80"/>
      <c r="AJ20" s="78">
        <f t="shared" si="12"/>
        <v>0</v>
      </c>
      <c r="AK20" s="80"/>
      <c r="AL20" s="78">
        <f t="shared" si="13"/>
        <v>0</v>
      </c>
      <c r="AM20" s="80"/>
      <c r="AN20" s="78">
        <f t="shared" si="14"/>
        <v>0</v>
      </c>
      <c r="AO20" s="80"/>
      <c r="AP20" s="78">
        <f t="shared" si="15"/>
        <v>0</v>
      </c>
      <c r="AQ20" s="80"/>
      <c r="AR20" s="78">
        <f t="shared" si="16"/>
        <v>0</v>
      </c>
      <c r="AS20" s="80"/>
      <c r="AT20" s="78">
        <f t="shared" si="17"/>
        <v>0</v>
      </c>
      <c r="AU20" s="80"/>
      <c r="AV20" s="78">
        <f t="shared" si="18"/>
        <v>0</v>
      </c>
      <c r="AW20" s="80"/>
      <c r="AX20" s="78">
        <f t="shared" si="19"/>
        <v>0</v>
      </c>
      <c r="AY20" s="80"/>
      <c r="AZ20" s="78">
        <f t="shared" si="20"/>
        <v>0</v>
      </c>
      <c r="BA20" s="80"/>
      <c r="BB20" s="78">
        <f t="shared" si="21"/>
        <v>0</v>
      </c>
      <c r="BC20" s="80"/>
      <c r="BD20" s="78">
        <f t="shared" si="22"/>
        <v>0</v>
      </c>
      <c r="BE20" s="80"/>
      <c r="BF20" s="78">
        <f t="shared" si="23"/>
        <v>0</v>
      </c>
      <c r="BG20" s="80"/>
      <c r="BH20" s="78">
        <f t="shared" si="24"/>
        <v>0</v>
      </c>
      <c r="BI20" s="80"/>
      <c r="BJ20" s="78">
        <f t="shared" si="25"/>
        <v>0</v>
      </c>
      <c r="BK20" s="80"/>
      <c r="BL20" s="78">
        <f t="shared" si="26"/>
        <v>0</v>
      </c>
      <c r="BM20" s="80"/>
      <c r="BN20" s="78">
        <f t="shared" si="27"/>
        <v>0</v>
      </c>
      <c r="BO20" s="80"/>
      <c r="BP20" s="78">
        <f t="shared" si="28"/>
        <v>0</v>
      </c>
      <c r="BQ20" s="80"/>
      <c r="BR20" s="78">
        <f t="shared" si="31"/>
        <v>0</v>
      </c>
      <c r="BS20" s="73"/>
      <c r="BT20" s="81">
        <f t="shared" si="29"/>
        <v>0</v>
      </c>
      <c r="BU20" s="81"/>
      <c r="BV20" s="81"/>
      <c r="BW20" s="81"/>
      <c r="BX20" s="81">
        <f t="shared" si="0"/>
        <v>8494.9508950320524</v>
      </c>
    </row>
    <row r="21" spans="1:76" s="82" customFormat="1" x14ac:dyDescent="0.3">
      <c r="A21" s="73">
        <v>37722</v>
      </c>
      <c r="B21" s="74" t="s">
        <v>71</v>
      </c>
      <c r="C21" s="74" t="s">
        <v>39</v>
      </c>
      <c r="D21" s="74" t="s">
        <v>72</v>
      </c>
      <c r="E21" s="74" t="str">
        <f>INDEX('[1]Branch code'!F:F,MATCH(D21,'[1]Branch code'!D:D,0))</f>
        <v xml:space="preserve"> Maple Hope, Inc.</v>
      </c>
      <c r="F21" s="75" t="str">
        <f>INDEX('[1]Region rate'!B:B,MATCH(D21,'[1]Region rate'!A:A,0))</f>
        <v>7A</v>
      </c>
      <c r="G21" s="76">
        <f>INDEX('[1]Region rate'!C:C,MATCH(F21,'[1]Region rate'!B:B,0))</f>
        <v>613.35192307692307</v>
      </c>
      <c r="H21" s="77">
        <f t="shared" si="1"/>
        <v>76.668990384615384</v>
      </c>
      <c r="I21" s="78"/>
      <c r="J21" s="78"/>
      <c r="K21" s="79"/>
      <c r="L21" s="79">
        <f>INDEX([1]Allowance!B:B,MATCH(F21,[1]Allowance!A:A,0))</f>
        <v>144</v>
      </c>
      <c r="M21" s="79"/>
      <c r="N21" s="79"/>
      <c r="O21" s="79"/>
      <c r="P21" s="79">
        <v>112</v>
      </c>
      <c r="Q21" s="78">
        <f t="shared" si="2"/>
        <v>8586.9269230769223</v>
      </c>
      <c r="R21" s="78">
        <f t="shared" si="3"/>
        <v>2034.8999999999999</v>
      </c>
      <c r="S21" s="78">
        <f t="shared" si="4"/>
        <v>0</v>
      </c>
      <c r="T21" s="78">
        <f t="shared" si="5"/>
        <v>0</v>
      </c>
      <c r="U21" s="79">
        <v>16</v>
      </c>
      <c r="V21" s="78">
        <f t="shared" si="30"/>
        <v>122.67038461538462</v>
      </c>
      <c r="W21" s="80">
        <v>3.16</v>
      </c>
      <c r="X21" s="80">
        <f t="shared" si="6"/>
        <v>242.27400961538461</v>
      </c>
      <c r="Y21" s="79"/>
      <c r="Z21" s="78">
        <f t="shared" si="7"/>
        <v>0</v>
      </c>
      <c r="AA21" s="80"/>
      <c r="AB21" s="78">
        <f t="shared" si="8"/>
        <v>0</v>
      </c>
      <c r="AC21" s="79"/>
      <c r="AD21" s="78">
        <f t="shared" si="9"/>
        <v>0</v>
      </c>
      <c r="AE21" s="80"/>
      <c r="AF21" s="78">
        <f t="shared" si="10"/>
        <v>0</v>
      </c>
      <c r="AG21" s="79">
        <v>1.05</v>
      </c>
      <c r="AH21" s="78">
        <f t="shared" si="11"/>
        <v>104.65317187500001</v>
      </c>
      <c r="AI21" s="80"/>
      <c r="AJ21" s="78">
        <f t="shared" si="12"/>
        <v>0</v>
      </c>
      <c r="AK21" s="80"/>
      <c r="AL21" s="78">
        <f t="shared" si="13"/>
        <v>0</v>
      </c>
      <c r="AM21" s="80"/>
      <c r="AN21" s="78">
        <f t="shared" si="14"/>
        <v>0</v>
      </c>
      <c r="AO21" s="80"/>
      <c r="AP21" s="78">
        <f t="shared" si="15"/>
        <v>0</v>
      </c>
      <c r="AQ21" s="80"/>
      <c r="AR21" s="78">
        <f t="shared" si="16"/>
        <v>0</v>
      </c>
      <c r="AS21" s="80"/>
      <c r="AT21" s="78">
        <f t="shared" si="17"/>
        <v>0</v>
      </c>
      <c r="AU21" s="80"/>
      <c r="AV21" s="78">
        <f t="shared" si="18"/>
        <v>0</v>
      </c>
      <c r="AW21" s="80"/>
      <c r="AX21" s="78">
        <f t="shared" si="19"/>
        <v>0</v>
      </c>
      <c r="AY21" s="80"/>
      <c r="AZ21" s="78">
        <f t="shared" si="20"/>
        <v>0</v>
      </c>
      <c r="BA21" s="80"/>
      <c r="BB21" s="78">
        <f t="shared" si="21"/>
        <v>0</v>
      </c>
      <c r="BC21" s="80"/>
      <c r="BD21" s="78">
        <f t="shared" si="22"/>
        <v>0</v>
      </c>
      <c r="BE21" s="80"/>
      <c r="BF21" s="78">
        <f t="shared" si="23"/>
        <v>0</v>
      </c>
      <c r="BG21" s="80"/>
      <c r="BH21" s="78">
        <f t="shared" si="24"/>
        <v>0</v>
      </c>
      <c r="BI21" s="80"/>
      <c r="BJ21" s="78">
        <f t="shared" si="25"/>
        <v>0</v>
      </c>
      <c r="BK21" s="80"/>
      <c r="BL21" s="78">
        <f t="shared" si="26"/>
        <v>0</v>
      </c>
      <c r="BM21" s="80"/>
      <c r="BN21" s="78">
        <f t="shared" si="27"/>
        <v>0</v>
      </c>
      <c r="BO21" s="80"/>
      <c r="BP21" s="78">
        <f t="shared" si="28"/>
        <v>0</v>
      </c>
      <c r="BQ21" s="80"/>
      <c r="BR21" s="78">
        <f t="shared" si="31"/>
        <v>0</v>
      </c>
      <c r="BS21" s="73"/>
      <c r="BT21" s="81">
        <f t="shared" si="29"/>
        <v>0</v>
      </c>
      <c r="BU21" s="81"/>
      <c r="BV21" s="81"/>
      <c r="BW21" s="81"/>
      <c r="BX21" s="81">
        <f t="shared" si="0"/>
        <v>8571.9764699519219</v>
      </c>
    </row>
    <row r="22" spans="1:76" s="82" customFormat="1" x14ac:dyDescent="0.3">
      <c r="A22" s="73">
        <v>51214</v>
      </c>
      <c r="B22" s="74" t="s">
        <v>73</v>
      </c>
      <c r="C22" s="74" t="s">
        <v>47</v>
      </c>
      <c r="D22" s="74" t="s">
        <v>74</v>
      </c>
      <c r="E22" s="74" t="str">
        <f>INDEX('[1]Branch code'!F:F,MATCH(D22,'[1]Branch code'!D:D,0))</f>
        <v xml:space="preserve"> Executive Optical, Inc.</v>
      </c>
      <c r="F22" s="75" t="str">
        <f>INDEX('[1]Region rate'!B:B,MATCH(D22,'[1]Region rate'!A:A,0))</f>
        <v>NCR</v>
      </c>
      <c r="G22" s="76">
        <f>INDEX('[1]Region rate'!C:C,MATCH(F22,'[1]Region rate'!B:B,0))</f>
        <v>789.10576923076928</v>
      </c>
      <c r="H22" s="77">
        <f t="shared" si="1"/>
        <v>98.63822115384616</v>
      </c>
      <c r="I22" s="78">
        <v>2.1800000000000002</v>
      </c>
      <c r="J22" s="78"/>
      <c r="K22" s="79">
        <v>8</v>
      </c>
      <c r="L22" s="79">
        <f>INDEX([1]Allowance!B:B,MATCH(F22,[1]Allowance!A:A,0))</f>
        <v>50</v>
      </c>
      <c r="M22" s="79"/>
      <c r="N22" s="79"/>
      <c r="O22" s="79"/>
      <c r="P22" s="79">
        <v>93.82</v>
      </c>
      <c r="Q22" s="78">
        <f t="shared" si="2"/>
        <v>9254.2379086538458</v>
      </c>
      <c r="R22" s="78">
        <f t="shared" si="3"/>
        <v>586.375</v>
      </c>
      <c r="S22" s="78">
        <f t="shared" si="4"/>
        <v>0</v>
      </c>
      <c r="T22" s="78">
        <f t="shared" si="5"/>
        <v>0</v>
      </c>
      <c r="U22" s="79">
        <v>12</v>
      </c>
      <c r="V22" s="78">
        <f t="shared" si="30"/>
        <v>118.3658653846154</v>
      </c>
      <c r="W22" s="80"/>
      <c r="X22" s="80">
        <f t="shared" si="6"/>
        <v>0</v>
      </c>
      <c r="Y22" s="79">
        <v>26.883299999999998</v>
      </c>
      <c r="Z22" s="78">
        <f t="shared" si="7"/>
        <v>3314.6511134314906</v>
      </c>
      <c r="AA22" s="80"/>
      <c r="AB22" s="78">
        <f t="shared" si="8"/>
        <v>0</v>
      </c>
      <c r="AC22" s="79">
        <v>26.883299999999998</v>
      </c>
      <c r="AD22" s="78">
        <f t="shared" si="9"/>
        <v>265.17208907451925</v>
      </c>
      <c r="AE22" s="80"/>
      <c r="AF22" s="78">
        <f t="shared" si="10"/>
        <v>0</v>
      </c>
      <c r="AG22" s="79"/>
      <c r="AH22" s="78">
        <f t="shared" si="11"/>
        <v>0</v>
      </c>
      <c r="AI22" s="80"/>
      <c r="AJ22" s="78">
        <f t="shared" si="12"/>
        <v>0</v>
      </c>
      <c r="AK22" s="80"/>
      <c r="AL22" s="78">
        <f t="shared" si="13"/>
        <v>0</v>
      </c>
      <c r="AM22" s="80"/>
      <c r="AN22" s="78">
        <f t="shared" si="14"/>
        <v>0</v>
      </c>
      <c r="AO22" s="80"/>
      <c r="AP22" s="78">
        <f t="shared" si="15"/>
        <v>0</v>
      </c>
      <c r="AQ22" s="80"/>
      <c r="AR22" s="78">
        <f t="shared" si="16"/>
        <v>0</v>
      </c>
      <c r="AS22" s="80"/>
      <c r="AT22" s="78">
        <f t="shared" si="17"/>
        <v>0</v>
      </c>
      <c r="AU22" s="80"/>
      <c r="AV22" s="78">
        <f t="shared" si="18"/>
        <v>0</v>
      </c>
      <c r="AW22" s="80"/>
      <c r="AX22" s="78">
        <f t="shared" si="19"/>
        <v>0</v>
      </c>
      <c r="AY22" s="80"/>
      <c r="AZ22" s="78">
        <f t="shared" si="20"/>
        <v>0</v>
      </c>
      <c r="BA22" s="80"/>
      <c r="BB22" s="78">
        <f t="shared" si="21"/>
        <v>0</v>
      </c>
      <c r="BC22" s="80"/>
      <c r="BD22" s="78">
        <f t="shared" si="22"/>
        <v>0</v>
      </c>
      <c r="BE22" s="80"/>
      <c r="BF22" s="78">
        <f t="shared" si="23"/>
        <v>0</v>
      </c>
      <c r="BG22" s="80"/>
      <c r="BH22" s="78">
        <f t="shared" si="24"/>
        <v>0</v>
      </c>
      <c r="BI22" s="80"/>
      <c r="BJ22" s="78">
        <f t="shared" si="25"/>
        <v>0</v>
      </c>
      <c r="BK22" s="80"/>
      <c r="BL22" s="78">
        <f t="shared" si="26"/>
        <v>0</v>
      </c>
      <c r="BM22" s="80"/>
      <c r="BN22" s="78">
        <f t="shared" si="27"/>
        <v>0</v>
      </c>
      <c r="BO22" s="80"/>
      <c r="BP22" s="78">
        <f t="shared" si="28"/>
        <v>0</v>
      </c>
      <c r="BQ22" s="80"/>
      <c r="BR22" s="78">
        <f t="shared" si="31"/>
        <v>0</v>
      </c>
      <c r="BS22" s="73"/>
      <c r="BT22" s="81">
        <f t="shared" si="29"/>
        <v>0</v>
      </c>
      <c r="BU22" s="81"/>
      <c r="BV22" s="81"/>
      <c r="BW22" s="81"/>
      <c r="BX22" s="81">
        <f t="shared" si="0"/>
        <v>12952.426976544473</v>
      </c>
    </row>
    <row r="23" spans="1:76" s="82" customFormat="1" x14ac:dyDescent="0.3">
      <c r="A23" s="73">
        <v>37764</v>
      </c>
      <c r="B23" s="74" t="s">
        <v>75</v>
      </c>
      <c r="C23" s="74" t="s">
        <v>39</v>
      </c>
      <c r="D23" s="74" t="s">
        <v>76</v>
      </c>
      <c r="E23" s="74" t="str">
        <f>INDEX('[1]Branch code'!F:F,MATCH(D23,'[1]Branch code'!D:D,0))</f>
        <v xml:space="preserve"> Occhialli, Inc.</v>
      </c>
      <c r="F23" s="75" t="str">
        <f>INDEX('[1]Region rate'!B:B,MATCH(D23,'[1]Region rate'!A:A,0))</f>
        <v>NCR</v>
      </c>
      <c r="G23" s="76">
        <f>INDEX('[1]Region rate'!C:C,MATCH(F23,'[1]Region rate'!B:B,0))</f>
        <v>789.10576923076928</v>
      </c>
      <c r="H23" s="77">
        <f t="shared" si="1"/>
        <v>98.63822115384616</v>
      </c>
      <c r="I23" s="78"/>
      <c r="J23" s="78">
        <v>4.8499999999999996</v>
      </c>
      <c r="K23" s="79">
        <v>8</v>
      </c>
      <c r="L23" s="79">
        <f>INDEX([1]Allowance!B:B,MATCH(F23,[1]Allowance!A:A,0))</f>
        <v>50</v>
      </c>
      <c r="M23" s="79"/>
      <c r="N23" s="79"/>
      <c r="O23" s="79"/>
      <c r="P23" s="79">
        <v>99.15</v>
      </c>
      <c r="Q23" s="78">
        <f t="shared" si="2"/>
        <v>9779.9796274038472</v>
      </c>
      <c r="R23" s="78">
        <f t="shared" si="3"/>
        <v>619.6875</v>
      </c>
      <c r="S23" s="78">
        <f t="shared" si="4"/>
        <v>0</v>
      </c>
      <c r="T23" s="78">
        <f t="shared" si="5"/>
        <v>0</v>
      </c>
      <c r="U23" s="79"/>
      <c r="V23" s="78">
        <f t="shared" si="30"/>
        <v>0</v>
      </c>
      <c r="W23" s="80">
        <v>1.8</v>
      </c>
      <c r="X23" s="80">
        <f t="shared" si="6"/>
        <v>177.54879807692311</v>
      </c>
      <c r="Y23" s="79"/>
      <c r="Z23" s="78">
        <f t="shared" si="7"/>
        <v>0</v>
      </c>
      <c r="AA23" s="80"/>
      <c r="AB23" s="78">
        <f t="shared" si="8"/>
        <v>0</v>
      </c>
      <c r="AC23" s="79"/>
      <c r="AD23" s="78">
        <f t="shared" si="9"/>
        <v>0</v>
      </c>
      <c r="AE23" s="80"/>
      <c r="AF23" s="78">
        <f t="shared" si="10"/>
        <v>0</v>
      </c>
      <c r="AG23" s="79"/>
      <c r="AH23" s="78">
        <f t="shared" si="11"/>
        <v>0</v>
      </c>
      <c r="AI23" s="80"/>
      <c r="AJ23" s="78">
        <f t="shared" si="12"/>
        <v>0</v>
      </c>
      <c r="AK23" s="80"/>
      <c r="AL23" s="78">
        <f t="shared" si="13"/>
        <v>0</v>
      </c>
      <c r="AM23" s="80"/>
      <c r="AN23" s="78">
        <f t="shared" si="14"/>
        <v>0</v>
      </c>
      <c r="AO23" s="80"/>
      <c r="AP23" s="78">
        <f t="shared" si="15"/>
        <v>0</v>
      </c>
      <c r="AQ23" s="80"/>
      <c r="AR23" s="78">
        <f t="shared" si="16"/>
        <v>0</v>
      </c>
      <c r="AS23" s="80"/>
      <c r="AT23" s="78">
        <f t="shared" si="17"/>
        <v>0</v>
      </c>
      <c r="AU23" s="80"/>
      <c r="AV23" s="78">
        <f t="shared" si="18"/>
        <v>0</v>
      </c>
      <c r="AW23" s="80"/>
      <c r="AX23" s="78">
        <f t="shared" si="19"/>
        <v>0</v>
      </c>
      <c r="AY23" s="80"/>
      <c r="AZ23" s="78">
        <f t="shared" si="20"/>
        <v>0</v>
      </c>
      <c r="BA23" s="80"/>
      <c r="BB23" s="78">
        <f t="shared" si="21"/>
        <v>0</v>
      </c>
      <c r="BC23" s="80"/>
      <c r="BD23" s="78">
        <f t="shared" si="22"/>
        <v>0</v>
      </c>
      <c r="BE23" s="80"/>
      <c r="BF23" s="78">
        <f t="shared" si="23"/>
        <v>0</v>
      </c>
      <c r="BG23" s="80"/>
      <c r="BH23" s="78">
        <f t="shared" si="24"/>
        <v>0</v>
      </c>
      <c r="BI23" s="80"/>
      <c r="BJ23" s="78">
        <f t="shared" si="25"/>
        <v>0</v>
      </c>
      <c r="BK23" s="80"/>
      <c r="BL23" s="78">
        <f t="shared" si="26"/>
        <v>0</v>
      </c>
      <c r="BM23" s="80"/>
      <c r="BN23" s="78">
        <f t="shared" si="27"/>
        <v>0</v>
      </c>
      <c r="BO23" s="80"/>
      <c r="BP23" s="78">
        <f t="shared" si="28"/>
        <v>0</v>
      </c>
      <c r="BQ23" s="80"/>
      <c r="BR23" s="78">
        <f t="shared" si="31"/>
        <v>0</v>
      </c>
      <c r="BS23" s="73"/>
      <c r="BT23" s="81">
        <f t="shared" si="29"/>
        <v>0</v>
      </c>
      <c r="BU23" s="81"/>
      <c r="BV23" s="81"/>
      <c r="BW23" s="81"/>
      <c r="BX23" s="81">
        <f t="shared" si="0"/>
        <v>9602.4308293269241</v>
      </c>
    </row>
    <row r="24" spans="1:76" s="82" customFormat="1" x14ac:dyDescent="0.3">
      <c r="A24" s="73">
        <v>63906</v>
      </c>
      <c r="B24" s="74" t="s">
        <v>77</v>
      </c>
      <c r="C24" s="74" t="s">
        <v>39</v>
      </c>
      <c r="D24" s="74" t="s">
        <v>78</v>
      </c>
      <c r="E24" s="74" t="str">
        <f>INDEX('[1]Branch code'!F:F,MATCH(D24,'[1]Branch code'!D:D,0))</f>
        <v xml:space="preserve"> Executive Optical, Inc.</v>
      </c>
      <c r="F24" s="75" t="str">
        <f>INDEX('[1]Region rate'!B:B,MATCH(D24,'[1]Region rate'!A:A,0))</f>
        <v>NCR</v>
      </c>
      <c r="G24" s="76">
        <f>INDEX('[1]Region rate'!C:C,MATCH(F24,'[1]Region rate'!B:B,0))</f>
        <v>789.10576923076928</v>
      </c>
      <c r="H24" s="77">
        <f t="shared" si="1"/>
        <v>98.63822115384616</v>
      </c>
      <c r="I24" s="78"/>
      <c r="J24" s="78"/>
      <c r="K24" s="79">
        <v>112</v>
      </c>
      <c r="L24" s="79">
        <f>INDEX([1]Allowance!B:B,MATCH(F24,[1]Allowance!A:A,0))</f>
        <v>50</v>
      </c>
      <c r="M24" s="79"/>
      <c r="N24" s="79"/>
      <c r="O24" s="79"/>
      <c r="P24" s="79"/>
      <c r="Q24" s="78">
        <f t="shared" si="2"/>
        <v>0</v>
      </c>
      <c r="R24" s="78">
        <f t="shared" si="3"/>
        <v>0</v>
      </c>
      <c r="S24" s="78">
        <f t="shared" si="4"/>
        <v>0</v>
      </c>
      <c r="T24" s="78">
        <f t="shared" si="5"/>
        <v>0</v>
      </c>
      <c r="U24" s="79"/>
      <c r="V24" s="78">
        <f t="shared" si="30"/>
        <v>0</v>
      </c>
      <c r="W24" s="80"/>
      <c r="X24" s="80">
        <f t="shared" si="6"/>
        <v>0</v>
      </c>
      <c r="Y24" s="79"/>
      <c r="Z24" s="78">
        <f t="shared" si="7"/>
        <v>0</v>
      </c>
      <c r="AA24" s="80"/>
      <c r="AB24" s="78">
        <f t="shared" si="8"/>
        <v>0</v>
      </c>
      <c r="AC24" s="79"/>
      <c r="AD24" s="78">
        <f t="shared" si="9"/>
        <v>0</v>
      </c>
      <c r="AE24" s="80"/>
      <c r="AF24" s="78">
        <f t="shared" si="10"/>
        <v>0</v>
      </c>
      <c r="AG24" s="79"/>
      <c r="AH24" s="78">
        <f t="shared" si="11"/>
        <v>0</v>
      </c>
      <c r="AI24" s="80"/>
      <c r="AJ24" s="78">
        <f t="shared" si="12"/>
        <v>0</v>
      </c>
      <c r="AK24" s="80"/>
      <c r="AL24" s="78">
        <f t="shared" si="13"/>
        <v>0</v>
      </c>
      <c r="AM24" s="80"/>
      <c r="AN24" s="78">
        <f t="shared" si="14"/>
        <v>0</v>
      </c>
      <c r="AO24" s="80"/>
      <c r="AP24" s="78">
        <f t="shared" si="15"/>
        <v>0</v>
      </c>
      <c r="AQ24" s="80"/>
      <c r="AR24" s="78">
        <f t="shared" si="16"/>
        <v>0</v>
      </c>
      <c r="AS24" s="80"/>
      <c r="AT24" s="78">
        <f t="shared" si="17"/>
        <v>0</v>
      </c>
      <c r="AU24" s="80"/>
      <c r="AV24" s="78">
        <f t="shared" si="18"/>
        <v>0</v>
      </c>
      <c r="AW24" s="80"/>
      <c r="AX24" s="78">
        <f t="shared" si="19"/>
        <v>0</v>
      </c>
      <c r="AY24" s="80"/>
      <c r="AZ24" s="78">
        <f t="shared" si="20"/>
        <v>0</v>
      </c>
      <c r="BA24" s="80"/>
      <c r="BB24" s="78">
        <f t="shared" si="21"/>
        <v>0</v>
      </c>
      <c r="BC24" s="80"/>
      <c r="BD24" s="78">
        <f t="shared" si="22"/>
        <v>0</v>
      </c>
      <c r="BE24" s="80"/>
      <c r="BF24" s="78">
        <f t="shared" si="23"/>
        <v>0</v>
      </c>
      <c r="BG24" s="80"/>
      <c r="BH24" s="78">
        <f t="shared" si="24"/>
        <v>0</v>
      </c>
      <c r="BI24" s="80"/>
      <c r="BJ24" s="78">
        <f t="shared" si="25"/>
        <v>0</v>
      </c>
      <c r="BK24" s="80"/>
      <c r="BL24" s="78">
        <f t="shared" si="26"/>
        <v>0</v>
      </c>
      <c r="BM24" s="80"/>
      <c r="BN24" s="78">
        <f t="shared" si="27"/>
        <v>0</v>
      </c>
      <c r="BO24" s="80"/>
      <c r="BP24" s="78">
        <f t="shared" si="28"/>
        <v>0</v>
      </c>
      <c r="BQ24" s="80"/>
      <c r="BR24" s="78">
        <f t="shared" si="31"/>
        <v>0</v>
      </c>
      <c r="BS24" s="73"/>
      <c r="BT24" s="81">
        <f t="shared" si="29"/>
        <v>0</v>
      </c>
      <c r="BU24" s="81"/>
      <c r="BV24" s="81"/>
      <c r="BW24" s="81"/>
      <c r="BX24" s="81">
        <f t="shared" si="0"/>
        <v>0</v>
      </c>
    </row>
    <row r="25" spans="1:76" s="82" customFormat="1" x14ac:dyDescent="0.3">
      <c r="A25" s="73">
        <v>64130</v>
      </c>
      <c r="B25" s="74" t="s">
        <v>79</v>
      </c>
      <c r="C25" s="74" t="s">
        <v>39</v>
      </c>
      <c r="D25" s="74" t="s">
        <v>78</v>
      </c>
      <c r="E25" s="74" t="str">
        <f>INDEX('[1]Branch code'!F:F,MATCH(D25,'[1]Branch code'!D:D,0))</f>
        <v xml:space="preserve"> Executive Optical, Inc.</v>
      </c>
      <c r="F25" s="75" t="str">
        <f>INDEX('[1]Region rate'!B:B,MATCH(D25,'[1]Region rate'!A:A,0))</f>
        <v>NCR</v>
      </c>
      <c r="G25" s="76">
        <f>INDEX('[1]Region rate'!C:C,MATCH(F25,'[1]Region rate'!B:B,0))</f>
        <v>789.10576923076928</v>
      </c>
      <c r="H25" s="77">
        <f t="shared" si="1"/>
        <v>98.63822115384616</v>
      </c>
      <c r="I25" s="78"/>
      <c r="J25" s="78"/>
      <c r="K25" s="79">
        <v>112</v>
      </c>
      <c r="L25" s="79">
        <f>INDEX([1]Allowance!B:B,MATCH(F25,[1]Allowance!A:A,0))</f>
        <v>50</v>
      </c>
      <c r="M25" s="79"/>
      <c r="N25" s="79"/>
      <c r="O25" s="79"/>
      <c r="P25" s="79"/>
      <c r="Q25" s="78">
        <f t="shared" si="2"/>
        <v>0</v>
      </c>
      <c r="R25" s="78">
        <f t="shared" si="3"/>
        <v>0</v>
      </c>
      <c r="S25" s="78">
        <f t="shared" si="4"/>
        <v>0</v>
      </c>
      <c r="T25" s="78">
        <f t="shared" si="5"/>
        <v>0</v>
      </c>
      <c r="U25" s="79"/>
      <c r="V25" s="78">
        <f t="shared" si="30"/>
        <v>0</v>
      </c>
      <c r="W25" s="80"/>
      <c r="X25" s="80">
        <f t="shared" si="6"/>
        <v>0</v>
      </c>
      <c r="Y25" s="79"/>
      <c r="Z25" s="78">
        <f t="shared" si="7"/>
        <v>0</v>
      </c>
      <c r="AA25" s="80"/>
      <c r="AB25" s="78">
        <f t="shared" si="8"/>
        <v>0</v>
      </c>
      <c r="AC25" s="79"/>
      <c r="AD25" s="78">
        <f t="shared" si="9"/>
        <v>0</v>
      </c>
      <c r="AE25" s="80"/>
      <c r="AF25" s="78">
        <f t="shared" si="10"/>
        <v>0</v>
      </c>
      <c r="AG25" s="79"/>
      <c r="AH25" s="78">
        <f t="shared" si="11"/>
        <v>0</v>
      </c>
      <c r="AI25" s="80"/>
      <c r="AJ25" s="78">
        <f t="shared" si="12"/>
        <v>0</v>
      </c>
      <c r="AK25" s="80"/>
      <c r="AL25" s="78">
        <f t="shared" si="13"/>
        <v>0</v>
      </c>
      <c r="AM25" s="80"/>
      <c r="AN25" s="78">
        <f t="shared" si="14"/>
        <v>0</v>
      </c>
      <c r="AO25" s="80"/>
      <c r="AP25" s="78">
        <f t="shared" si="15"/>
        <v>0</v>
      </c>
      <c r="AQ25" s="80"/>
      <c r="AR25" s="78">
        <f t="shared" si="16"/>
        <v>0</v>
      </c>
      <c r="AS25" s="80"/>
      <c r="AT25" s="78">
        <f t="shared" si="17"/>
        <v>0</v>
      </c>
      <c r="AU25" s="80"/>
      <c r="AV25" s="78">
        <f t="shared" si="18"/>
        <v>0</v>
      </c>
      <c r="AW25" s="80"/>
      <c r="AX25" s="78">
        <f t="shared" si="19"/>
        <v>0</v>
      </c>
      <c r="AY25" s="80"/>
      <c r="AZ25" s="78">
        <f t="shared" si="20"/>
        <v>0</v>
      </c>
      <c r="BA25" s="80"/>
      <c r="BB25" s="78">
        <f t="shared" si="21"/>
        <v>0</v>
      </c>
      <c r="BC25" s="80"/>
      <c r="BD25" s="78">
        <f t="shared" si="22"/>
        <v>0</v>
      </c>
      <c r="BE25" s="80"/>
      <c r="BF25" s="78">
        <f t="shared" si="23"/>
        <v>0</v>
      </c>
      <c r="BG25" s="80"/>
      <c r="BH25" s="78">
        <f t="shared" si="24"/>
        <v>0</v>
      </c>
      <c r="BI25" s="80"/>
      <c r="BJ25" s="78">
        <f t="shared" si="25"/>
        <v>0</v>
      </c>
      <c r="BK25" s="80"/>
      <c r="BL25" s="78">
        <f t="shared" si="26"/>
        <v>0</v>
      </c>
      <c r="BM25" s="80"/>
      <c r="BN25" s="78">
        <f t="shared" si="27"/>
        <v>0</v>
      </c>
      <c r="BO25" s="80"/>
      <c r="BP25" s="78">
        <f t="shared" si="28"/>
        <v>0</v>
      </c>
      <c r="BQ25" s="80"/>
      <c r="BR25" s="78">
        <f t="shared" si="31"/>
        <v>0</v>
      </c>
      <c r="BS25" s="73"/>
      <c r="BT25" s="81">
        <f t="shared" si="29"/>
        <v>0</v>
      </c>
      <c r="BU25" s="81"/>
      <c r="BV25" s="81"/>
      <c r="BW25" s="81"/>
      <c r="BX25" s="81">
        <f t="shared" si="0"/>
        <v>0</v>
      </c>
    </row>
    <row r="26" spans="1:76" s="82" customFormat="1" x14ac:dyDescent="0.3">
      <c r="A26" s="73">
        <v>63877</v>
      </c>
      <c r="B26" s="74" t="s">
        <v>80</v>
      </c>
      <c r="C26" s="74" t="s">
        <v>39</v>
      </c>
      <c r="D26" s="74" t="s">
        <v>78</v>
      </c>
      <c r="E26" s="74" t="str">
        <f>INDEX('[1]Branch code'!F:F,MATCH(D26,'[1]Branch code'!D:D,0))</f>
        <v xml:space="preserve"> Executive Optical, Inc.</v>
      </c>
      <c r="F26" s="75" t="str">
        <f>INDEX('[1]Region rate'!B:B,MATCH(D26,'[1]Region rate'!A:A,0))</f>
        <v>NCR</v>
      </c>
      <c r="G26" s="76">
        <f>INDEX('[1]Region rate'!C:C,MATCH(F26,'[1]Region rate'!B:B,0))</f>
        <v>789.10576923076928</v>
      </c>
      <c r="H26" s="77">
        <f t="shared" si="1"/>
        <v>98.63822115384616</v>
      </c>
      <c r="I26" s="78"/>
      <c r="J26" s="78">
        <v>2.97</v>
      </c>
      <c r="K26" s="79"/>
      <c r="L26" s="79">
        <f>INDEX([1]Allowance!B:B,MATCH(F26,[1]Allowance!A:A,0))</f>
        <v>50</v>
      </c>
      <c r="M26" s="79"/>
      <c r="N26" s="79"/>
      <c r="O26" s="79"/>
      <c r="P26" s="79">
        <v>109.03</v>
      </c>
      <c r="Q26" s="78">
        <f t="shared" si="2"/>
        <v>10754.525252403848</v>
      </c>
      <c r="R26" s="78">
        <f t="shared" si="3"/>
        <v>681.4375</v>
      </c>
      <c r="S26" s="78">
        <f t="shared" si="4"/>
        <v>0</v>
      </c>
      <c r="T26" s="78">
        <f t="shared" si="5"/>
        <v>0</v>
      </c>
      <c r="U26" s="79">
        <v>1</v>
      </c>
      <c r="V26" s="78">
        <f t="shared" si="30"/>
        <v>9.8638221153846164</v>
      </c>
      <c r="W26" s="80"/>
      <c r="X26" s="80">
        <f t="shared" si="6"/>
        <v>0</v>
      </c>
      <c r="Y26" s="79">
        <v>5.5</v>
      </c>
      <c r="Z26" s="78">
        <f t="shared" si="7"/>
        <v>678.13777043269238</v>
      </c>
      <c r="AA26" s="80"/>
      <c r="AB26" s="78">
        <f t="shared" si="8"/>
        <v>0</v>
      </c>
      <c r="AC26" s="79">
        <v>0.5</v>
      </c>
      <c r="AD26" s="78">
        <f t="shared" si="9"/>
        <v>4.9319110576923082</v>
      </c>
      <c r="AE26" s="80"/>
      <c r="AF26" s="78">
        <f t="shared" si="10"/>
        <v>0</v>
      </c>
      <c r="AG26" s="79"/>
      <c r="AH26" s="78">
        <f t="shared" si="11"/>
        <v>0</v>
      </c>
      <c r="AI26" s="80"/>
      <c r="AJ26" s="78">
        <f t="shared" si="12"/>
        <v>0</v>
      </c>
      <c r="AK26" s="80"/>
      <c r="AL26" s="78">
        <f t="shared" si="13"/>
        <v>0</v>
      </c>
      <c r="AM26" s="80"/>
      <c r="AN26" s="78">
        <f t="shared" si="14"/>
        <v>0</v>
      </c>
      <c r="AO26" s="80"/>
      <c r="AP26" s="78">
        <f t="shared" si="15"/>
        <v>0</v>
      </c>
      <c r="AQ26" s="80"/>
      <c r="AR26" s="78">
        <f t="shared" si="16"/>
        <v>0</v>
      </c>
      <c r="AS26" s="80"/>
      <c r="AT26" s="78">
        <f t="shared" si="17"/>
        <v>0</v>
      </c>
      <c r="AU26" s="80"/>
      <c r="AV26" s="78">
        <f t="shared" si="18"/>
        <v>0</v>
      </c>
      <c r="AW26" s="80"/>
      <c r="AX26" s="78">
        <f t="shared" si="19"/>
        <v>0</v>
      </c>
      <c r="AY26" s="80"/>
      <c r="AZ26" s="78">
        <f t="shared" si="20"/>
        <v>0</v>
      </c>
      <c r="BA26" s="80"/>
      <c r="BB26" s="78">
        <f t="shared" si="21"/>
        <v>0</v>
      </c>
      <c r="BC26" s="80"/>
      <c r="BD26" s="78">
        <f t="shared" si="22"/>
        <v>0</v>
      </c>
      <c r="BE26" s="80"/>
      <c r="BF26" s="78">
        <f t="shared" si="23"/>
        <v>0</v>
      </c>
      <c r="BG26" s="80"/>
      <c r="BH26" s="78">
        <f t="shared" si="24"/>
        <v>0</v>
      </c>
      <c r="BI26" s="80"/>
      <c r="BJ26" s="78">
        <f t="shared" si="25"/>
        <v>0</v>
      </c>
      <c r="BK26" s="80"/>
      <c r="BL26" s="78">
        <f t="shared" si="26"/>
        <v>0</v>
      </c>
      <c r="BM26" s="80"/>
      <c r="BN26" s="78">
        <f t="shared" si="27"/>
        <v>0</v>
      </c>
      <c r="BO26" s="80"/>
      <c r="BP26" s="78">
        <f t="shared" si="28"/>
        <v>0</v>
      </c>
      <c r="BQ26" s="80"/>
      <c r="BR26" s="78">
        <f t="shared" si="31"/>
        <v>0</v>
      </c>
      <c r="BS26" s="73"/>
      <c r="BT26" s="81">
        <f t="shared" si="29"/>
        <v>0</v>
      </c>
      <c r="BU26" s="81"/>
      <c r="BV26" s="81"/>
      <c r="BW26" s="81"/>
      <c r="BX26" s="81">
        <f t="shared" si="0"/>
        <v>11447.458756009617</v>
      </c>
    </row>
    <row r="27" spans="1:76" s="82" customFormat="1" x14ac:dyDescent="0.3">
      <c r="A27" s="73">
        <v>63546</v>
      </c>
      <c r="B27" s="74" t="s">
        <v>81</v>
      </c>
      <c r="C27" s="74" t="s">
        <v>39</v>
      </c>
      <c r="D27" s="74" t="s">
        <v>78</v>
      </c>
      <c r="E27" s="74" t="str">
        <f>INDEX('[1]Branch code'!F:F,MATCH(D27,'[1]Branch code'!D:D,0))</f>
        <v xml:space="preserve"> Executive Optical, Inc.</v>
      </c>
      <c r="F27" s="75" t="str">
        <f>INDEX('[1]Region rate'!B:B,MATCH(D27,'[1]Region rate'!A:A,0))</f>
        <v>NCR</v>
      </c>
      <c r="G27" s="76">
        <f>INDEX('[1]Region rate'!C:C,MATCH(F27,'[1]Region rate'!B:B,0))</f>
        <v>789.10576923076928</v>
      </c>
      <c r="H27" s="77">
        <f t="shared" si="1"/>
        <v>98.63822115384616</v>
      </c>
      <c r="I27" s="78"/>
      <c r="J27" s="78"/>
      <c r="K27" s="79">
        <v>32</v>
      </c>
      <c r="L27" s="79">
        <f>INDEX([1]Allowance!B:B,MATCH(F27,[1]Allowance!A:A,0))</f>
        <v>50</v>
      </c>
      <c r="M27" s="79"/>
      <c r="N27" s="79"/>
      <c r="O27" s="79"/>
      <c r="P27" s="79">
        <v>80</v>
      </c>
      <c r="Q27" s="78">
        <f t="shared" si="2"/>
        <v>7891.0576923076933</v>
      </c>
      <c r="R27" s="78">
        <f t="shared" si="3"/>
        <v>500</v>
      </c>
      <c r="S27" s="78">
        <f t="shared" si="4"/>
        <v>0</v>
      </c>
      <c r="T27" s="78">
        <f t="shared" si="5"/>
        <v>0</v>
      </c>
      <c r="U27" s="79"/>
      <c r="V27" s="78">
        <f t="shared" si="30"/>
        <v>0</v>
      </c>
      <c r="W27" s="80"/>
      <c r="X27" s="80">
        <f t="shared" si="6"/>
        <v>0</v>
      </c>
      <c r="Y27" s="79">
        <v>3</v>
      </c>
      <c r="Z27" s="78">
        <f t="shared" si="7"/>
        <v>369.89332932692309</v>
      </c>
      <c r="AA27" s="80"/>
      <c r="AB27" s="78">
        <f t="shared" si="8"/>
        <v>0</v>
      </c>
      <c r="AC27" s="79">
        <v>0.5</v>
      </c>
      <c r="AD27" s="78">
        <f t="shared" si="9"/>
        <v>4.9319110576923082</v>
      </c>
      <c r="AE27" s="80"/>
      <c r="AF27" s="78">
        <f t="shared" si="10"/>
        <v>0</v>
      </c>
      <c r="AG27" s="79"/>
      <c r="AH27" s="78">
        <f t="shared" si="11"/>
        <v>0</v>
      </c>
      <c r="AI27" s="80"/>
      <c r="AJ27" s="78">
        <f t="shared" si="12"/>
        <v>0</v>
      </c>
      <c r="AK27" s="80"/>
      <c r="AL27" s="78">
        <f t="shared" si="13"/>
        <v>0</v>
      </c>
      <c r="AM27" s="80"/>
      <c r="AN27" s="78">
        <f t="shared" si="14"/>
        <v>0</v>
      </c>
      <c r="AO27" s="80"/>
      <c r="AP27" s="78">
        <f t="shared" si="15"/>
        <v>0</v>
      </c>
      <c r="AQ27" s="80"/>
      <c r="AR27" s="78">
        <f t="shared" si="16"/>
        <v>0</v>
      </c>
      <c r="AS27" s="80"/>
      <c r="AT27" s="78">
        <f t="shared" si="17"/>
        <v>0</v>
      </c>
      <c r="AU27" s="80"/>
      <c r="AV27" s="78">
        <f t="shared" si="18"/>
        <v>0</v>
      </c>
      <c r="AW27" s="80"/>
      <c r="AX27" s="78">
        <f t="shared" si="19"/>
        <v>0</v>
      </c>
      <c r="AY27" s="80"/>
      <c r="AZ27" s="78">
        <f t="shared" si="20"/>
        <v>0</v>
      </c>
      <c r="BA27" s="80"/>
      <c r="BB27" s="78">
        <f t="shared" si="21"/>
        <v>0</v>
      </c>
      <c r="BC27" s="80"/>
      <c r="BD27" s="78">
        <f t="shared" si="22"/>
        <v>0</v>
      </c>
      <c r="BE27" s="80"/>
      <c r="BF27" s="78">
        <f t="shared" si="23"/>
        <v>0</v>
      </c>
      <c r="BG27" s="80"/>
      <c r="BH27" s="78">
        <f t="shared" si="24"/>
        <v>0</v>
      </c>
      <c r="BI27" s="80"/>
      <c r="BJ27" s="78">
        <f t="shared" si="25"/>
        <v>0</v>
      </c>
      <c r="BK27" s="80"/>
      <c r="BL27" s="78">
        <f t="shared" si="26"/>
        <v>0</v>
      </c>
      <c r="BM27" s="80"/>
      <c r="BN27" s="78">
        <f t="shared" si="27"/>
        <v>0</v>
      </c>
      <c r="BO27" s="80"/>
      <c r="BP27" s="78">
        <f t="shared" si="28"/>
        <v>0</v>
      </c>
      <c r="BQ27" s="80"/>
      <c r="BR27" s="78">
        <f t="shared" si="31"/>
        <v>0</v>
      </c>
      <c r="BS27" s="73"/>
      <c r="BT27" s="81">
        <f t="shared" si="29"/>
        <v>0</v>
      </c>
      <c r="BU27" s="81"/>
      <c r="BV27" s="81"/>
      <c r="BW27" s="81"/>
      <c r="BX27" s="81">
        <f t="shared" si="0"/>
        <v>8265.8829326923096</v>
      </c>
    </row>
    <row r="28" spans="1:76" s="82" customFormat="1" x14ac:dyDescent="0.3">
      <c r="A28" s="73">
        <v>51288</v>
      </c>
      <c r="B28" s="74" t="s">
        <v>82</v>
      </c>
      <c r="C28" s="74" t="s">
        <v>44</v>
      </c>
      <c r="D28" s="74" t="s">
        <v>83</v>
      </c>
      <c r="E28" s="74" t="str">
        <f>INDEX('[1]Branch code'!F:F,MATCH(D28,'[1]Branch code'!D:D,0))</f>
        <v xml:space="preserve"> Executive Optical, Inc.</v>
      </c>
      <c r="F28" s="75">
        <f>INDEX('[1]Region rate'!B:B,MATCH(D28,'[1]Region rate'!A:A,0))</f>
        <v>3</v>
      </c>
      <c r="G28" s="76">
        <v>845.38</v>
      </c>
      <c r="H28" s="77">
        <f t="shared" si="1"/>
        <v>105.6725</v>
      </c>
      <c r="I28" s="78">
        <v>1.75</v>
      </c>
      <c r="J28" s="78"/>
      <c r="K28" s="79">
        <v>8</v>
      </c>
      <c r="L28" s="79">
        <v>153.84</v>
      </c>
      <c r="M28" s="79"/>
      <c r="N28" s="79"/>
      <c r="O28" s="79"/>
      <c r="P28" s="79">
        <v>102.25</v>
      </c>
      <c r="Q28" s="78">
        <f t="shared" si="2"/>
        <v>10805.013124999999</v>
      </c>
      <c r="R28" s="78">
        <f t="shared" si="3"/>
        <v>1966.2675000000002</v>
      </c>
      <c r="S28" s="78">
        <f t="shared" si="4"/>
        <v>0</v>
      </c>
      <c r="T28" s="78">
        <f t="shared" si="5"/>
        <v>0</v>
      </c>
      <c r="U28" s="79"/>
      <c r="V28" s="78">
        <f t="shared" si="30"/>
        <v>0</v>
      </c>
      <c r="W28" s="80"/>
      <c r="X28" s="80">
        <f t="shared" si="6"/>
        <v>0</v>
      </c>
      <c r="Y28" s="79"/>
      <c r="Z28" s="78">
        <f t="shared" si="7"/>
        <v>0</v>
      </c>
      <c r="AA28" s="80"/>
      <c r="AB28" s="78">
        <f t="shared" si="8"/>
        <v>0</v>
      </c>
      <c r="AC28" s="79"/>
      <c r="AD28" s="78">
        <f t="shared" si="9"/>
        <v>0</v>
      </c>
      <c r="AE28" s="80"/>
      <c r="AF28" s="78">
        <f t="shared" si="10"/>
        <v>0</v>
      </c>
      <c r="AG28" s="79"/>
      <c r="AH28" s="78">
        <f t="shared" si="11"/>
        <v>0</v>
      </c>
      <c r="AI28" s="80"/>
      <c r="AJ28" s="78">
        <f t="shared" si="12"/>
        <v>0</v>
      </c>
      <c r="AK28" s="80"/>
      <c r="AL28" s="78">
        <f t="shared" si="13"/>
        <v>0</v>
      </c>
      <c r="AM28" s="80"/>
      <c r="AN28" s="78">
        <f t="shared" si="14"/>
        <v>0</v>
      </c>
      <c r="AO28" s="80"/>
      <c r="AP28" s="78">
        <f t="shared" si="15"/>
        <v>0</v>
      </c>
      <c r="AQ28" s="80"/>
      <c r="AR28" s="78">
        <f t="shared" si="16"/>
        <v>0</v>
      </c>
      <c r="AS28" s="80"/>
      <c r="AT28" s="78">
        <f t="shared" si="17"/>
        <v>0</v>
      </c>
      <c r="AU28" s="80"/>
      <c r="AV28" s="78">
        <f t="shared" si="18"/>
        <v>0</v>
      </c>
      <c r="AW28" s="80"/>
      <c r="AX28" s="78">
        <f t="shared" si="19"/>
        <v>0</v>
      </c>
      <c r="AY28" s="80"/>
      <c r="AZ28" s="78">
        <f t="shared" si="20"/>
        <v>0</v>
      </c>
      <c r="BA28" s="80"/>
      <c r="BB28" s="78">
        <f t="shared" si="21"/>
        <v>0</v>
      </c>
      <c r="BC28" s="80"/>
      <c r="BD28" s="78">
        <f t="shared" si="22"/>
        <v>0</v>
      </c>
      <c r="BE28" s="80"/>
      <c r="BF28" s="78">
        <f t="shared" si="23"/>
        <v>0</v>
      </c>
      <c r="BG28" s="80"/>
      <c r="BH28" s="78">
        <f t="shared" si="24"/>
        <v>0</v>
      </c>
      <c r="BI28" s="80"/>
      <c r="BJ28" s="78">
        <f t="shared" si="25"/>
        <v>0</v>
      </c>
      <c r="BK28" s="80"/>
      <c r="BL28" s="78">
        <f t="shared" si="26"/>
        <v>0</v>
      </c>
      <c r="BM28" s="80"/>
      <c r="BN28" s="78">
        <f t="shared" si="27"/>
        <v>0</v>
      </c>
      <c r="BO28" s="80"/>
      <c r="BP28" s="78">
        <f t="shared" si="28"/>
        <v>0</v>
      </c>
      <c r="BQ28" s="80"/>
      <c r="BR28" s="78">
        <f t="shared" si="31"/>
        <v>0</v>
      </c>
      <c r="BS28" s="73"/>
      <c r="BT28" s="81">
        <f t="shared" si="29"/>
        <v>0</v>
      </c>
      <c r="BU28" s="81"/>
      <c r="BV28" s="81"/>
      <c r="BW28" s="81"/>
      <c r="BX28" s="81">
        <f t="shared" si="0"/>
        <v>10805.013124999999</v>
      </c>
    </row>
    <row r="29" spans="1:76" s="82" customFormat="1" x14ac:dyDescent="0.3">
      <c r="A29" s="73">
        <v>52069</v>
      </c>
      <c r="B29" s="74" t="s">
        <v>84</v>
      </c>
      <c r="C29" s="74" t="s">
        <v>44</v>
      </c>
      <c r="D29" s="74" t="s">
        <v>85</v>
      </c>
      <c r="E29" s="74" t="str">
        <f>INDEX('[1]Branch code'!F:F,MATCH(D29,'[1]Branch code'!D:D,0))</f>
        <v xml:space="preserve"> Megane Specs Corp.</v>
      </c>
      <c r="F29" s="75">
        <f>INDEX('[1]Region rate'!B:B,MATCH(D29,'[1]Region rate'!A:A,0))</f>
        <v>3</v>
      </c>
      <c r="G29" s="76">
        <v>845.38</v>
      </c>
      <c r="H29" s="77">
        <f t="shared" si="1"/>
        <v>105.6725</v>
      </c>
      <c r="I29" s="78"/>
      <c r="J29" s="78"/>
      <c r="K29" s="79"/>
      <c r="L29" s="79">
        <v>153.84</v>
      </c>
      <c r="M29" s="79"/>
      <c r="N29" s="79"/>
      <c r="O29" s="79"/>
      <c r="P29" s="79">
        <v>112</v>
      </c>
      <c r="Q29" s="78">
        <f t="shared" si="2"/>
        <v>11835.32</v>
      </c>
      <c r="R29" s="78">
        <f t="shared" si="3"/>
        <v>2153.7600000000002</v>
      </c>
      <c r="S29" s="78">
        <f t="shared" si="4"/>
        <v>0</v>
      </c>
      <c r="T29" s="78">
        <f t="shared" si="5"/>
        <v>0</v>
      </c>
      <c r="U29" s="79"/>
      <c r="V29" s="78">
        <f t="shared" si="30"/>
        <v>0</v>
      </c>
      <c r="W29" s="80"/>
      <c r="X29" s="80">
        <f t="shared" si="6"/>
        <v>0</v>
      </c>
      <c r="Y29" s="79">
        <v>1</v>
      </c>
      <c r="Z29" s="78">
        <f t="shared" si="7"/>
        <v>132.09062499999999</v>
      </c>
      <c r="AA29" s="80"/>
      <c r="AB29" s="78">
        <f t="shared" si="8"/>
        <v>0</v>
      </c>
      <c r="AC29" s="79"/>
      <c r="AD29" s="78">
        <f t="shared" si="9"/>
        <v>0</v>
      </c>
      <c r="AE29" s="80"/>
      <c r="AF29" s="78">
        <f t="shared" si="10"/>
        <v>0</v>
      </c>
      <c r="AG29" s="79"/>
      <c r="AH29" s="78">
        <f t="shared" si="11"/>
        <v>0</v>
      </c>
      <c r="AI29" s="80"/>
      <c r="AJ29" s="78">
        <f t="shared" si="12"/>
        <v>0</v>
      </c>
      <c r="AK29" s="80"/>
      <c r="AL29" s="78">
        <f t="shared" si="13"/>
        <v>0</v>
      </c>
      <c r="AM29" s="80"/>
      <c r="AN29" s="78">
        <f t="shared" si="14"/>
        <v>0</v>
      </c>
      <c r="AO29" s="80"/>
      <c r="AP29" s="78">
        <f t="shared" si="15"/>
        <v>0</v>
      </c>
      <c r="AQ29" s="80"/>
      <c r="AR29" s="78">
        <f t="shared" si="16"/>
        <v>0</v>
      </c>
      <c r="AS29" s="80"/>
      <c r="AT29" s="78">
        <f t="shared" si="17"/>
        <v>0</v>
      </c>
      <c r="AU29" s="80"/>
      <c r="AV29" s="78">
        <f t="shared" si="18"/>
        <v>0</v>
      </c>
      <c r="AW29" s="80"/>
      <c r="AX29" s="78">
        <f t="shared" si="19"/>
        <v>0</v>
      </c>
      <c r="AY29" s="80"/>
      <c r="AZ29" s="78">
        <f t="shared" si="20"/>
        <v>0</v>
      </c>
      <c r="BA29" s="80"/>
      <c r="BB29" s="78">
        <f t="shared" si="21"/>
        <v>0</v>
      </c>
      <c r="BC29" s="80"/>
      <c r="BD29" s="78">
        <f t="shared" si="22"/>
        <v>0</v>
      </c>
      <c r="BE29" s="80"/>
      <c r="BF29" s="78">
        <f t="shared" si="23"/>
        <v>0</v>
      </c>
      <c r="BG29" s="80"/>
      <c r="BH29" s="78">
        <f t="shared" si="24"/>
        <v>0</v>
      </c>
      <c r="BI29" s="80"/>
      <c r="BJ29" s="78">
        <f t="shared" si="25"/>
        <v>0</v>
      </c>
      <c r="BK29" s="80"/>
      <c r="BL29" s="78">
        <f t="shared" si="26"/>
        <v>0</v>
      </c>
      <c r="BM29" s="80"/>
      <c r="BN29" s="78">
        <f t="shared" si="27"/>
        <v>0</v>
      </c>
      <c r="BO29" s="80"/>
      <c r="BP29" s="78">
        <f t="shared" si="28"/>
        <v>0</v>
      </c>
      <c r="BQ29" s="80"/>
      <c r="BR29" s="78">
        <f t="shared" si="31"/>
        <v>0</v>
      </c>
      <c r="BS29" s="73"/>
      <c r="BT29" s="81">
        <f t="shared" si="29"/>
        <v>0</v>
      </c>
      <c r="BU29" s="81"/>
      <c r="BV29" s="81"/>
      <c r="BW29" s="81"/>
      <c r="BX29" s="81">
        <f t="shared" si="0"/>
        <v>11967.410625</v>
      </c>
    </row>
    <row r="30" spans="1:76" s="82" customFormat="1" x14ac:dyDescent="0.3">
      <c r="A30" s="73">
        <v>64153</v>
      </c>
      <c r="B30" s="74" t="s">
        <v>86</v>
      </c>
      <c r="C30" s="74" t="s">
        <v>39</v>
      </c>
      <c r="D30" s="74" t="s">
        <v>87</v>
      </c>
      <c r="E30" s="74" t="str">
        <f>INDEX('[1]Branch code'!F:F,MATCH(D30,'[1]Branch code'!D:D,0))</f>
        <v>Occhialera Filipinas, Inc.</v>
      </c>
      <c r="F30" s="75" t="str">
        <f>INDEX('[1]Region rate'!B:B,MATCH(D30,'[1]Region rate'!A:A,0))</f>
        <v>NCR</v>
      </c>
      <c r="G30" s="76">
        <f>INDEX('[1]Region rate'!C:C,MATCH(F30,'[1]Region rate'!B:B,0))</f>
        <v>789.10576923076928</v>
      </c>
      <c r="H30" s="77">
        <f t="shared" si="1"/>
        <v>98.63822115384616</v>
      </c>
      <c r="I30" s="78"/>
      <c r="J30" s="78"/>
      <c r="K30" s="79"/>
      <c r="L30" s="79">
        <f>INDEX([1]Allowance!B:B,MATCH(F30,[1]Allowance!A:A,0))</f>
        <v>50</v>
      </c>
      <c r="M30" s="79"/>
      <c r="N30" s="79"/>
      <c r="O30" s="79">
        <v>1</v>
      </c>
      <c r="P30" s="79">
        <v>111</v>
      </c>
      <c r="Q30" s="78">
        <f t="shared" si="2"/>
        <v>11047.48076923077</v>
      </c>
      <c r="R30" s="78">
        <f t="shared" si="3"/>
        <v>700</v>
      </c>
      <c r="S30" s="78">
        <f t="shared" si="4"/>
        <v>0</v>
      </c>
      <c r="T30" s="78">
        <f t="shared" si="5"/>
        <v>0</v>
      </c>
      <c r="U30" s="79"/>
      <c r="V30" s="78">
        <f t="shared" si="30"/>
        <v>0</v>
      </c>
      <c r="W30" s="80">
        <v>0.25</v>
      </c>
      <c r="X30" s="80">
        <f t="shared" si="6"/>
        <v>24.65955528846154</v>
      </c>
      <c r="Y30" s="79">
        <v>3.6</v>
      </c>
      <c r="Z30" s="78">
        <f t="shared" si="7"/>
        <v>443.87199519230774</v>
      </c>
      <c r="AA30" s="80"/>
      <c r="AB30" s="78">
        <f t="shared" si="8"/>
        <v>0</v>
      </c>
      <c r="AC30" s="79"/>
      <c r="AD30" s="78">
        <f t="shared" si="9"/>
        <v>0</v>
      </c>
      <c r="AE30" s="80"/>
      <c r="AF30" s="78">
        <f t="shared" si="10"/>
        <v>0</v>
      </c>
      <c r="AG30" s="79"/>
      <c r="AH30" s="78">
        <f t="shared" si="11"/>
        <v>0</v>
      </c>
      <c r="AI30" s="80"/>
      <c r="AJ30" s="78">
        <f t="shared" si="12"/>
        <v>0</v>
      </c>
      <c r="AK30" s="80"/>
      <c r="AL30" s="78">
        <f t="shared" si="13"/>
        <v>0</v>
      </c>
      <c r="AM30" s="80"/>
      <c r="AN30" s="78">
        <f t="shared" si="14"/>
        <v>0</v>
      </c>
      <c r="AO30" s="80"/>
      <c r="AP30" s="78">
        <f t="shared" si="15"/>
        <v>0</v>
      </c>
      <c r="AQ30" s="80"/>
      <c r="AR30" s="78">
        <f t="shared" si="16"/>
        <v>0</v>
      </c>
      <c r="AS30" s="80"/>
      <c r="AT30" s="78">
        <f t="shared" si="17"/>
        <v>0</v>
      </c>
      <c r="AU30" s="80"/>
      <c r="AV30" s="78">
        <f t="shared" si="18"/>
        <v>0</v>
      </c>
      <c r="AW30" s="80"/>
      <c r="AX30" s="78">
        <f t="shared" si="19"/>
        <v>0</v>
      </c>
      <c r="AY30" s="80"/>
      <c r="AZ30" s="78">
        <f t="shared" si="20"/>
        <v>0</v>
      </c>
      <c r="BA30" s="80"/>
      <c r="BB30" s="78">
        <f t="shared" si="21"/>
        <v>0</v>
      </c>
      <c r="BC30" s="80"/>
      <c r="BD30" s="78">
        <f t="shared" si="22"/>
        <v>0</v>
      </c>
      <c r="BE30" s="80"/>
      <c r="BF30" s="78">
        <f t="shared" si="23"/>
        <v>0</v>
      </c>
      <c r="BG30" s="80"/>
      <c r="BH30" s="78">
        <f t="shared" si="24"/>
        <v>0</v>
      </c>
      <c r="BI30" s="80"/>
      <c r="BJ30" s="78">
        <f t="shared" si="25"/>
        <v>0</v>
      </c>
      <c r="BK30" s="80"/>
      <c r="BL30" s="78">
        <f t="shared" si="26"/>
        <v>0</v>
      </c>
      <c r="BM30" s="80"/>
      <c r="BN30" s="78">
        <f t="shared" si="27"/>
        <v>0</v>
      </c>
      <c r="BO30" s="80"/>
      <c r="BP30" s="78">
        <f t="shared" si="28"/>
        <v>0</v>
      </c>
      <c r="BQ30" s="80"/>
      <c r="BR30" s="78">
        <f t="shared" si="31"/>
        <v>0</v>
      </c>
      <c r="BS30" s="73"/>
      <c r="BT30" s="81">
        <f t="shared" si="29"/>
        <v>0</v>
      </c>
      <c r="BU30" s="81"/>
      <c r="BV30" s="81"/>
      <c r="BW30" s="81"/>
      <c r="BX30" s="81">
        <f t="shared" si="0"/>
        <v>11466.693209134617</v>
      </c>
    </row>
    <row r="31" spans="1:76" s="82" customFormat="1" x14ac:dyDescent="0.3">
      <c r="A31" s="73">
        <v>64519</v>
      </c>
      <c r="B31" s="83" t="s">
        <v>88</v>
      </c>
      <c r="C31" s="74" t="s">
        <v>60</v>
      </c>
      <c r="D31" s="74" t="s">
        <v>87</v>
      </c>
      <c r="E31" s="74" t="str">
        <f>INDEX('[1]Branch code'!F:F,MATCH(D31,'[1]Branch code'!D:D,0))</f>
        <v>Occhialera Filipinas, Inc.</v>
      </c>
      <c r="F31" s="75" t="str">
        <f>INDEX('[1]Region rate'!B:B,MATCH(D31,'[1]Region rate'!A:A,0))</f>
        <v>NCR</v>
      </c>
      <c r="G31" s="76">
        <f>INDEX('[1]Region rate'!C:C,MATCH(F31,'[1]Region rate'!B:B,0))</f>
        <v>789.10576923076928</v>
      </c>
      <c r="H31" s="77">
        <f t="shared" si="1"/>
        <v>98.63822115384616</v>
      </c>
      <c r="I31" s="78">
        <v>0.32</v>
      </c>
      <c r="J31" s="78"/>
      <c r="K31" s="79">
        <v>16</v>
      </c>
      <c r="L31" s="79">
        <f>INDEX([1]Allowance!B:B,MATCH(F31,[1]Allowance!A:A,0))</f>
        <v>50</v>
      </c>
      <c r="M31" s="79"/>
      <c r="N31" s="79"/>
      <c r="O31" s="79"/>
      <c r="P31" s="79">
        <v>95.68</v>
      </c>
      <c r="Q31" s="78">
        <f t="shared" si="2"/>
        <v>9437.7050000000017</v>
      </c>
      <c r="R31" s="78">
        <f t="shared" si="3"/>
        <v>598</v>
      </c>
      <c r="S31" s="78">
        <f t="shared" si="4"/>
        <v>0</v>
      </c>
      <c r="T31" s="78">
        <f t="shared" si="5"/>
        <v>0</v>
      </c>
      <c r="U31" s="79">
        <v>1.5</v>
      </c>
      <c r="V31" s="78">
        <f t="shared" si="30"/>
        <v>14.795733173076925</v>
      </c>
      <c r="W31" s="80"/>
      <c r="X31" s="80">
        <f t="shared" si="6"/>
        <v>0</v>
      </c>
      <c r="Y31" s="79"/>
      <c r="Z31" s="78">
        <f t="shared" si="7"/>
        <v>0</v>
      </c>
      <c r="AA31" s="80"/>
      <c r="AB31" s="78">
        <f t="shared" si="8"/>
        <v>0</v>
      </c>
      <c r="AC31" s="79"/>
      <c r="AD31" s="78">
        <f t="shared" si="9"/>
        <v>0</v>
      </c>
      <c r="AE31" s="80"/>
      <c r="AF31" s="78">
        <f t="shared" si="10"/>
        <v>0</v>
      </c>
      <c r="AG31" s="79"/>
      <c r="AH31" s="78">
        <f t="shared" si="11"/>
        <v>0</v>
      </c>
      <c r="AI31" s="80"/>
      <c r="AJ31" s="78">
        <f t="shared" si="12"/>
        <v>0</v>
      </c>
      <c r="AK31" s="80"/>
      <c r="AL31" s="78">
        <f t="shared" si="13"/>
        <v>0</v>
      </c>
      <c r="AM31" s="80"/>
      <c r="AN31" s="78">
        <f t="shared" si="14"/>
        <v>0</v>
      </c>
      <c r="AO31" s="80"/>
      <c r="AP31" s="78">
        <f t="shared" si="15"/>
        <v>0</v>
      </c>
      <c r="AQ31" s="80"/>
      <c r="AR31" s="78">
        <f t="shared" si="16"/>
        <v>0</v>
      </c>
      <c r="AS31" s="80"/>
      <c r="AT31" s="78">
        <f t="shared" si="17"/>
        <v>0</v>
      </c>
      <c r="AU31" s="80"/>
      <c r="AV31" s="78">
        <f t="shared" si="18"/>
        <v>0</v>
      </c>
      <c r="AW31" s="80"/>
      <c r="AX31" s="78">
        <f t="shared" si="19"/>
        <v>0</v>
      </c>
      <c r="AY31" s="80"/>
      <c r="AZ31" s="78">
        <f t="shared" si="20"/>
        <v>0</v>
      </c>
      <c r="BA31" s="80"/>
      <c r="BB31" s="78">
        <f t="shared" si="21"/>
        <v>0</v>
      </c>
      <c r="BC31" s="80"/>
      <c r="BD31" s="78">
        <f t="shared" si="22"/>
        <v>0</v>
      </c>
      <c r="BE31" s="80"/>
      <c r="BF31" s="78">
        <f t="shared" si="23"/>
        <v>0</v>
      </c>
      <c r="BG31" s="80"/>
      <c r="BH31" s="78">
        <f t="shared" si="24"/>
        <v>0</v>
      </c>
      <c r="BI31" s="80"/>
      <c r="BJ31" s="78">
        <f t="shared" si="25"/>
        <v>0</v>
      </c>
      <c r="BK31" s="80"/>
      <c r="BL31" s="78">
        <f t="shared" si="26"/>
        <v>0</v>
      </c>
      <c r="BM31" s="80"/>
      <c r="BN31" s="78">
        <f t="shared" si="27"/>
        <v>0</v>
      </c>
      <c r="BO31" s="80"/>
      <c r="BP31" s="78">
        <f t="shared" si="28"/>
        <v>0</v>
      </c>
      <c r="BQ31" s="80"/>
      <c r="BR31" s="78">
        <f t="shared" si="31"/>
        <v>0</v>
      </c>
      <c r="BS31" s="73"/>
      <c r="BT31" s="81">
        <f t="shared" si="29"/>
        <v>0</v>
      </c>
      <c r="BU31" s="81"/>
      <c r="BV31" s="84">
        <f>H31*BF5*8</f>
        <v>1025.8375000000001</v>
      </c>
      <c r="BW31" s="84">
        <f>L31</f>
        <v>50</v>
      </c>
      <c r="BX31" s="81">
        <f t="shared" si="0"/>
        <v>9452.5007331730794</v>
      </c>
    </row>
    <row r="32" spans="1:76" s="82" customFormat="1" x14ac:dyDescent="0.3">
      <c r="A32" s="73">
        <v>64305</v>
      </c>
      <c r="B32" s="74" t="s">
        <v>89</v>
      </c>
      <c r="C32" s="74" t="s">
        <v>60</v>
      </c>
      <c r="D32" s="74" t="s">
        <v>90</v>
      </c>
      <c r="E32" s="74" t="str">
        <f>INDEX('[1]Branch code'!F:F,MATCH(D32,'[1]Branch code'!D:D,0))</f>
        <v xml:space="preserve"> Vue Circle Corp.</v>
      </c>
      <c r="F32" s="75" t="str">
        <f>INDEX('[1]Region rate'!B:B,MATCH(D32,'[1]Region rate'!A:A,0))</f>
        <v>NCR</v>
      </c>
      <c r="G32" s="76">
        <f>INDEX('[1]Region rate'!C:C,MATCH(F32,'[1]Region rate'!B:B,0))</f>
        <v>789.10576923076928</v>
      </c>
      <c r="H32" s="77">
        <f t="shared" si="1"/>
        <v>98.63822115384616</v>
      </c>
      <c r="I32" s="78"/>
      <c r="J32" s="78"/>
      <c r="K32" s="79">
        <v>112</v>
      </c>
      <c r="L32" s="79">
        <f>INDEX([1]Allowance!B:B,MATCH(F32,[1]Allowance!A:A,0))</f>
        <v>50</v>
      </c>
      <c r="M32" s="79"/>
      <c r="N32" s="79"/>
      <c r="O32" s="79"/>
      <c r="P32" s="79"/>
      <c r="Q32" s="78">
        <f t="shared" si="2"/>
        <v>0</v>
      </c>
      <c r="R32" s="78">
        <f t="shared" si="3"/>
        <v>0</v>
      </c>
      <c r="S32" s="78">
        <f t="shared" si="4"/>
        <v>0</v>
      </c>
      <c r="T32" s="78">
        <f t="shared" si="5"/>
        <v>0</v>
      </c>
      <c r="U32" s="79"/>
      <c r="V32" s="78">
        <f t="shared" si="30"/>
        <v>0</v>
      </c>
      <c r="W32" s="80"/>
      <c r="X32" s="80">
        <f t="shared" si="6"/>
        <v>0</v>
      </c>
      <c r="Y32" s="79"/>
      <c r="Z32" s="78">
        <f t="shared" si="7"/>
        <v>0</v>
      </c>
      <c r="AA32" s="80"/>
      <c r="AB32" s="78">
        <f t="shared" si="8"/>
        <v>0</v>
      </c>
      <c r="AC32" s="79"/>
      <c r="AD32" s="78">
        <f t="shared" si="9"/>
        <v>0</v>
      </c>
      <c r="AE32" s="80"/>
      <c r="AF32" s="78">
        <f t="shared" si="10"/>
        <v>0</v>
      </c>
      <c r="AG32" s="79"/>
      <c r="AH32" s="78">
        <f t="shared" si="11"/>
        <v>0</v>
      </c>
      <c r="AI32" s="80"/>
      <c r="AJ32" s="78">
        <f t="shared" si="12"/>
        <v>0</v>
      </c>
      <c r="AK32" s="80"/>
      <c r="AL32" s="78">
        <f t="shared" si="13"/>
        <v>0</v>
      </c>
      <c r="AM32" s="80"/>
      <c r="AN32" s="78">
        <f t="shared" si="14"/>
        <v>0</v>
      </c>
      <c r="AO32" s="80"/>
      <c r="AP32" s="78">
        <f t="shared" si="15"/>
        <v>0</v>
      </c>
      <c r="AQ32" s="80"/>
      <c r="AR32" s="78">
        <f t="shared" si="16"/>
        <v>0</v>
      </c>
      <c r="AS32" s="80"/>
      <c r="AT32" s="78">
        <f t="shared" si="17"/>
        <v>0</v>
      </c>
      <c r="AU32" s="80"/>
      <c r="AV32" s="78">
        <f t="shared" si="18"/>
        <v>0</v>
      </c>
      <c r="AW32" s="80"/>
      <c r="AX32" s="78">
        <f t="shared" si="19"/>
        <v>0</v>
      </c>
      <c r="AY32" s="80"/>
      <c r="AZ32" s="78">
        <f t="shared" si="20"/>
        <v>0</v>
      </c>
      <c r="BA32" s="80"/>
      <c r="BB32" s="78">
        <f t="shared" si="21"/>
        <v>0</v>
      </c>
      <c r="BC32" s="80"/>
      <c r="BD32" s="78">
        <f t="shared" si="22"/>
        <v>0</v>
      </c>
      <c r="BE32" s="80"/>
      <c r="BF32" s="78">
        <f t="shared" si="23"/>
        <v>0</v>
      </c>
      <c r="BG32" s="80"/>
      <c r="BH32" s="78">
        <f t="shared" si="24"/>
        <v>0</v>
      </c>
      <c r="BI32" s="80"/>
      <c r="BJ32" s="78">
        <f t="shared" si="25"/>
        <v>0</v>
      </c>
      <c r="BK32" s="80"/>
      <c r="BL32" s="78">
        <f t="shared" si="26"/>
        <v>0</v>
      </c>
      <c r="BM32" s="80"/>
      <c r="BN32" s="78">
        <f t="shared" si="27"/>
        <v>0</v>
      </c>
      <c r="BO32" s="80"/>
      <c r="BP32" s="78">
        <f t="shared" si="28"/>
        <v>0</v>
      </c>
      <c r="BQ32" s="80"/>
      <c r="BR32" s="78">
        <f t="shared" si="31"/>
        <v>0</v>
      </c>
      <c r="BS32" s="73"/>
      <c r="BT32" s="81">
        <f t="shared" si="29"/>
        <v>0</v>
      </c>
      <c r="BU32" s="81"/>
      <c r="BV32" s="81"/>
      <c r="BW32" s="81"/>
      <c r="BX32" s="81">
        <f t="shared" si="0"/>
        <v>0</v>
      </c>
    </row>
    <row r="33" spans="1:76" s="118" customFormat="1" x14ac:dyDescent="0.3">
      <c r="A33" s="109">
        <v>62967</v>
      </c>
      <c r="B33" s="110" t="s">
        <v>91</v>
      </c>
      <c r="C33" s="110" t="s">
        <v>92</v>
      </c>
      <c r="D33" s="110" t="s">
        <v>90</v>
      </c>
      <c r="E33" s="110" t="str">
        <f>INDEX('[1]Branch code'!F:F,MATCH(D33,'[1]Branch code'!D:D,0))</f>
        <v xml:space="preserve"> Vue Circle Corp.</v>
      </c>
      <c r="F33" s="111" t="str">
        <f>INDEX('[1]Region rate'!B:B,MATCH(D33,'[1]Region rate'!A:A,0))</f>
        <v>NCR</v>
      </c>
      <c r="G33" s="112">
        <f>INDEX('[1]Region rate'!C:C,MATCH(F33,'[1]Region rate'!B:B,0))</f>
        <v>789.10576923076928</v>
      </c>
      <c r="H33" s="113">
        <f t="shared" si="1"/>
        <v>98.63822115384616</v>
      </c>
      <c r="I33" s="114">
        <v>0.25</v>
      </c>
      <c r="J33" s="114"/>
      <c r="K33" s="115"/>
      <c r="L33" s="115">
        <f>INDEX([1]Allowance!B:B,MATCH(F33,[1]Allowance!A:A,0))</f>
        <v>50</v>
      </c>
      <c r="M33" s="115">
        <v>38.46</v>
      </c>
      <c r="N33" s="115"/>
      <c r="O33" s="115"/>
      <c r="P33" s="115">
        <v>111.75</v>
      </c>
      <c r="Q33" s="114">
        <f t="shared" si="2"/>
        <v>11022.821213942309</v>
      </c>
      <c r="R33" s="114">
        <f t="shared" si="3"/>
        <v>698.4375</v>
      </c>
      <c r="S33" s="114">
        <f t="shared" si="4"/>
        <v>537.23812499999997</v>
      </c>
      <c r="T33" s="114">
        <f t="shared" si="5"/>
        <v>0</v>
      </c>
      <c r="U33" s="115"/>
      <c r="V33" s="114">
        <f t="shared" si="30"/>
        <v>0</v>
      </c>
      <c r="W33" s="116">
        <v>0.82</v>
      </c>
      <c r="X33" s="116">
        <f t="shared" si="6"/>
        <v>80.883341346153841</v>
      </c>
      <c r="Y33" s="115">
        <v>14.5</v>
      </c>
      <c r="Z33" s="114">
        <f t="shared" si="7"/>
        <v>1787.8177584134617</v>
      </c>
      <c r="AA33" s="116"/>
      <c r="AB33" s="114">
        <f t="shared" si="8"/>
        <v>0</v>
      </c>
      <c r="AC33" s="115">
        <v>10.5</v>
      </c>
      <c r="AD33" s="114">
        <f t="shared" si="9"/>
        <v>103.57013221153848</v>
      </c>
      <c r="AE33" s="116"/>
      <c r="AF33" s="114">
        <f t="shared" si="10"/>
        <v>0</v>
      </c>
      <c r="AG33" s="115"/>
      <c r="AH33" s="114">
        <f t="shared" si="11"/>
        <v>0</v>
      </c>
      <c r="AI33" s="116"/>
      <c r="AJ33" s="114">
        <f t="shared" si="12"/>
        <v>0</v>
      </c>
      <c r="AK33" s="116"/>
      <c r="AL33" s="114">
        <f t="shared" si="13"/>
        <v>0</v>
      </c>
      <c r="AM33" s="116"/>
      <c r="AN33" s="114">
        <f t="shared" si="14"/>
        <v>0</v>
      </c>
      <c r="AO33" s="116"/>
      <c r="AP33" s="114">
        <f t="shared" si="15"/>
        <v>0</v>
      </c>
      <c r="AQ33" s="116"/>
      <c r="AR33" s="114">
        <f t="shared" si="16"/>
        <v>0</v>
      </c>
      <c r="AS33" s="116"/>
      <c r="AT33" s="114">
        <f t="shared" si="17"/>
        <v>0</v>
      </c>
      <c r="AU33" s="116"/>
      <c r="AV33" s="114">
        <f t="shared" si="18"/>
        <v>0</v>
      </c>
      <c r="AW33" s="116"/>
      <c r="AX33" s="114">
        <f t="shared" si="19"/>
        <v>0</v>
      </c>
      <c r="AY33" s="116"/>
      <c r="AZ33" s="114">
        <f t="shared" si="20"/>
        <v>0</v>
      </c>
      <c r="BA33" s="116"/>
      <c r="BB33" s="114">
        <f t="shared" si="21"/>
        <v>0</v>
      </c>
      <c r="BC33" s="116"/>
      <c r="BD33" s="114">
        <f t="shared" si="22"/>
        <v>0</v>
      </c>
      <c r="BE33" s="116"/>
      <c r="BF33" s="114">
        <f t="shared" si="23"/>
        <v>0</v>
      </c>
      <c r="BG33" s="116"/>
      <c r="BH33" s="114">
        <f t="shared" si="24"/>
        <v>0</v>
      </c>
      <c r="BI33" s="116"/>
      <c r="BJ33" s="114">
        <f t="shared" si="25"/>
        <v>0</v>
      </c>
      <c r="BK33" s="116"/>
      <c r="BL33" s="114">
        <f t="shared" si="26"/>
        <v>0</v>
      </c>
      <c r="BM33" s="116"/>
      <c r="BN33" s="114">
        <f t="shared" si="27"/>
        <v>0</v>
      </c>
      <c r="BO33" s="116"/>
      <c r="BP33" s="114">
        <f t="shared" si="28"/>
        <v>0</v>
      </c>
      <c r="BQ33" s="116"/>
      <c r="BR33" s="114">
        <f t="shared" si="31"/>
        <v>0</v>
      </c>
      <c r="BS33" s="109"/>
      <c r="BT33" s="117">
        <f t="shared" si="29"/>
        <v>0</v>
      </c>
      <c r="BU33" s="117"/>
      <c r="BV33" s="117"/>
      <c r="BW33" s="117"/>
      <c r="BX33" s="117">
        <f t="shared" si="0"/>
        <v>12833.325763221153</v>
      </c>
    </row>
    <row r="34" spans="1:76" s="82" customFormat="1" x14ac:dyDescent="0.3">
      <c r="A34" s="73">
        <v>51587</v>
      </c>
      <c r="B34" s="74" t="s">
        <v>93</v>
      </c>
      <c r="C34" s="74" t="s">
        <v>44</v>
      </c>
      <c r="D34" s="74" t="s">
        <v>94</v>
      </c>
      <c r="E34" s="74" t="str">
        <f>INDEX('[1]Branch code'!F:F,MATCH(D34,'[1]Branch code'!D:D,0))</f>
        <v>Occhialera Filipinas, Inc.</v>
      </c>
      <c r="F34" s="75" t="str">
        <f>INDEX('[1]Region rate'!B:B,MATCH(D34,'[1]Region rate'!A:A,0))</f>
        <v>NCR</v>
      </c>
      <c r="G34" s="76">
        <v>845.38</v>
      </c>
      <c r="H34" s="77">
        <f t="shared" si="1"/>
        <v>105.6725</v>
      </c>
      <c r="I34" s="78">
        <v>1.37</v>
      </c>
      <c r="J34" s="78"/>
      <c r="K34" s="79">
        <v>8</v>
      </c>
      <c r="L34" s="79">
        <v>153.84</v>
      </c>
      <c r="M34" s="79"/>
      <c r="N34" s="79"/>
      <c r="O34" s="79"/>
      <c r="P34" s="79">
        <v>94.63</v>
      </c>
      <c r="Q34" s="78">
        <f t="shared" si="2"/>
        <v>9999.7886749999998</v>
      </c>
      <c r="R34" s="78">
        <f t="shared" si="3"/>
        <v>1819.7348999999999</v>
      </c>
      <c r="S34" s="78">
        <f t="shared" si="4"/>
        <v>0</v>
      </c>
      <c r="T34" s="78">
        <f t="shared" si="5"/>
        <v>0</v>
      </c>
      <c r="U34" s="79"/>
      <c r="V34" s="78">
        <f t="shared" si="30"/>
        <v>0</v>
      </c>
      <c r="W34" s="80"/>
      <c r="X34" s="80">
        <f t="shared" si="6"/>
        <v>0</v>
      </c>
      <c r="Y34" s="79">
        <v>3</v>
      </c>
      <c r="Z34" s="78">
        <f t="shared" si="7"/>
        <v>396.27187499999997</v>
      </c>
      <c r="AA34" s="80"/>
      <c r="AB34" s="78">
        <f t="shared" si="8"/>
        <v>0</v>
      </c>
      <c r="AC34" s="79"/>
      <c r="AD34" s="78">
        <f t="shared" si="9"/>
        <v>0</v>
      </c>
      <c r="AE34" s="80"/>
      <c r="AF34" s="78">
        <f t="shared" si="10"/>
        <v>0</v>
      </c>
      <c r="AG34" s="79"/>
      <c r="AH34" s="78">
        <f t="shared" si="11"/>
        <v>0</v>
      </c>
      <c r="AI34" s="80"/>
      <c r="AJ34" s="78">
        <f t="shared" si="12"/>
        <v>0</v>
      </c>
      <c r="AK34" s="80"/>
      <c r="AL34" s="78">
        <f t="shared" si="13"/>
        <v>0</v>
      </c>
      <c r="AM34" s="80"/>
      <c r="AN34" s="78">
        <f t="shared" si="14"/>
        <v>0</v>
      </c>
      <c r="AO34" s="80"/>
      <c r="AP34" s="78">
        <f t="shared" si="15"/>
        <v>0</v>
      </c>
      <c r="AQ34" s="80"/>
      <c r="AR34" s="78">
        <f t="shared" si="16"/>
        <v>0</v>
      </c>
      <c r="AS34" s="80"/>
      <c r="AT34" s="78">
        <f t="shared" si="17"/>
        <v>0</v>
      </c>
      <c r="AU34" s="80"/>
      <c r="AV34" s="78">
        <f t="shared" si="18"/>
        <v>0</v>
      </c>
      <c r="AW34" s="80"/>
      <c r="AX34" s="78">
        <f t="shared" si="19"/>
        <v>0</v>
      </c>
      <c r="AY34" s="80"/>
      <c r="AZ34" s="78">
        <f t="shared" si="20"/>
        <v>0</v>
      </c>
      <c r="BA34" s="80"/>
      <c r="BB34" s="78">
        <f t="shared" si="21"/>
        <v>0</v>
      </c>
      <c r="BC34" s="80"/>
      <c r="BD34" s="78">
        <f t="shared" si="22"/>
        <v>0</v>
      </c>
      <c r="BE34" s="80"/>
      <c r="BF34" s="78">
        <f t="shared" si="23"/>
        <v>0</v>
      </c>
      <c r="BG34" s="80"/>
      <c r="BH34" s="78">
        <f t="shared" si="24"/>
        <v>0</v>
      </c>
      <c r="BI34" s="80"/>
      <c r="BJ34" s="78">
        <f t="shared" si="25"/>
        <v>0</v>
      </c>
      <c r="BK34" s="80"/>
      <c r="BL34" s="78">
        <f t="shared" si="26"/>
        <v>0</v>
      </c>
      <c r="BM34" s="80"/>
      <c r="BN34" s="78">
        <f t="shared" si="27"/>
        <v>0</v>
      </c>
      <c r="BO34" s="80"/>
      <c r="BP34" s="78">
        <f t="shared" si="28"/>
        <v>0</v>
      </c>
      <c r="BQ34" s="80"/>
      <c r="BR34" s="78">
        <f t="shared" si="31"/>
        <v>0</v>
      </c>
      <c r="BS34" s="73"/>
      <c r="BT34" s="81">
        <f t="shared" si="29"/>
        <v>0</v>
      </c>
      <c r="BU34" s="81"/>
      <c r="BV34" s="81"/>
      <c r="BW34" s="81"/>
      <c r="BX34" s="81">
        <f t="shared" si="0"/>
        <v>10396.06055</v>
      </c>
    </row>
    <row r="35" spans="1:76" s="82" customFormat="1" x14ac:dyDescent="0.3">
      <c r="A35" s="73">
        <v>37783</v>
      </c>
      <c r="B35" s="74" t="s">
        <v>95</v>
      </c>
      <c r="C35" s="74" t="s">
        <v>39</v>
      </c>
      <c r="D35" s="74" t="s">
        <v>96</v>
      </c>
      <c r="E35" s="74" t="str">
        <f>INDEX('[1]Branch code'!F:F,MATCH(D35,'[1]Branch code'!D:D,0))</f>
        <v xml:space="preserve"> Megane Specs Corp.</v>
      </c>
      <c r="F35" s="75" t="str">
        <f>INDEX('[1]Region rate'!B:B,MATCH(D35,'[1]Region rate'!A:A,0))</f>
        <v>7A</v>
      </c>
      <c r="G35" s="76">
        <f>INDEX('[1]Region rate'!C:C,MATCH(F35,'[1]Region rate'!B:B,0))</f>
        <v>613.35192307692307</v>
      </c>
      <c r="H35" s="77">
        <f t="shared" si="1"/>
        <v>76.668990384615384</v>
      </c>
      <c r="I35" s="78"/>
      <c r="J35" s="78">
        <v>4</v>
      </c>
      <c r="K35" s="79">
        <v>8</v>
      </c>
      <c r="L35" s="79">
        <f>INDEX([1]Allowance!B:B,MATCH(F35,[1]Allowance!A:A,0))</f>
        <v>144</v>
      </c>
      <c r="M35" s="79"/>
      <c r="N35" s="79"/>
      <c r="O35" s="79"/>
      <c r="P35" s="79">
        <v>92</v>
      </c>
      <c r="Q35" s="78">
        <f t="shared" si="2"/>
        <v>7053.5471153846156</v>
      </c>
      <c r="R35" s="78">
        <f t="shared" si="3"/>
        <v>1656</v>
      </c>
      <c r="S35" s="78">
        <f t="shared" si="4"/>
        <v>0</v>
      </c>
      <c r="T35" s="78">
        <f t="shared" si="5"/>
        <v>0</v>
      </c>
      <c r="U35" s="79"/>
      <c r="V35" s="78">
        <f t="shared" si="30"/>
        <v>0</v>
      </c>
      <c r="W35" s="80"/>
      <c r="X35" s="80">
        <f t="shared" si="6"/>
        <v>0</v>
      </c>
      <c r="Y35" s="79">
        <v>1</v>
      </c>
      <c r="Z35" s="78">
        <f t="shared" si="7"/>
        <v>95.836237980769226</v>
      </c>
      <c r="AA35" s="80"/>
      <c r="AB35" s="78">
        <f t="shared" si="8"/>
        <v>0</v>
      </c>
      <c r="AC35" s="79"/>
      <c r="AD35" s="78">
        <f t="shared" si="9"/>
        <v>0</v>
      </c>
      <c r="AE35" s="80"/>
      <c r="AF35" s="78">
        <f t="shared" si="10"/>
        <v>0</v>
      </c>
      <c r="AG35" s="79"/>
      <c r="AH35" s="78">
        <f t="shared" si="11"/>
        <v>0</v>
      </c>
      <c r="AI35" s="80"/>
      <c r="AJ35" s="78">
        <f t="shared" si="12"/>
        <v>0</v>
      </c>
      <c r="AK35" s="80"/>
      <c r="AL35" s="78">
        <f t="shared" si="13"/>
        <v>0</v>
      </c>
      <c r="AM35" s="80"/>
      <c r="AN35" s="78">
        <f t="shared" si="14"/>
        <v>0</v>
      </c>
      <c r="AO35" s="80"/>
      <c r="AP35" s="78">
        <f t="shared" si="15"/>
        <v>0</v>
      </c>
      <c r="AQ35" s="80"/>
      <c r="AR35" s="78">
        <f t="shared" si="16"/>
        <v>0</v>
      </c>
      <c r="AS35" s="80"/>
      <c r="AT35" s="78">
        <f t="shared" si="17"/>
        <v>0</v>
      </c>
      <c r="AU35" s="80"/>
      <c r="AV35" s="78">
        <f t="shared" si="18"/>
        <v>0</v>
      </c>
      <c r="AW35" s="80"/>
      <c r="AX35" s="78">
        <f t="shared" si="19"/>
        <v>0</v>
      </c>
      <c r="AY35" s="80"/>
      <c r="AZ35" s="78">
        <f t="shared" si="20"/>
        <v>0</v>
      </c>
      <c r="BA35" s="80"/>
      <c r="BB35" s="78">
        <f t="shared" si="21"/>
        <v>0</v>
      </c>
      <c r="BC35" s="80"/>
      <c r="BD35" s="78">
        <f t="shared" si="22"/>
        <v>0</v>
      </c>
      <c r="BE35" s="80"/>
      <c r="BF35" s="78">
        <f t="shared" si="23"/>
        <v>0</v>
      </c>
      <c r="BG35" s="80"/>
      <c r="BH35" s="78">
        <f t="shared" si="24"/>
        <v>0</v>
      </c>
      <c r="BI35" s="80"/>
      <c r="BJ35" s="78">
        <f t="shared" si="25"/>
        <v>0</v>
      </c>
      <c r="BK35" s="80"/>
      <c r="BL35" s="78">
        <f t="shared" si="26"/>
        <v>0</v>
      </c>
      <c r="BM35" s="80"/>
      <c r="BN35" s="78">
        <f t="shared" si="27"/>
        <v>0</v>
      </c>
      <c r="BO35" s="80"/>
      <c r="BP35" s="78">
        <f t="shared" si="28"/>
        <v>0</v>
      </c>
      <c r="BQ35" s="80"/>
      <c r="BR35" s="78">
        <f t="shared" si="31"/>
        <v>0</v>
      </c>
      <c r="BS35" s="73"/>
      <c r="BT35" s="81">
        <f t="shared" si="29"/>
        <v>0</v>
      </c>
      <c r="BU35" s="81"/>
      <c r="BV35" s="81"/>
      <c r="BW35" s="81"/>
      <c r="BX35" s="81">
        <f t="shared" si="0"/>
        <v>7149.3833533653851</v>
      </c>
    </row>
    <row r="36" spans="1:76" s="82" customFormat="1" x14ac:dyDescent="0.3">
      <c r="A36" s="73">
        <v>63199</v>
      </c>
      <c r="B36" s="74" t="s">
        <v>97</v>
      </c>
      <c r="C36" s="74" t="s">
        <v>68</v>
      </c>
      <c r="D36" s="74" t="s">
        <v>98</v>
      </c>
      <c r="E36" s="74" t="str">
        <f>INDEX('[1]Branch code'!F:F,MATCH(D36,'[1]Branch code'!D:D,0))</f>
        <v>Occhialera Filipinas, Inc.</v>
      </c>
      <c r="F36" s="75" t="str">
        <f>INDEX('[1]Region rate'!B:B,MATCH(D36,'[1]Region rate'!A:A,0))</f>
        <v>4A2</v>
      </c>
      <c r="G36" s="76">
        <f>INDEX('[1]Region rate'!C:C,MATCH(F36,'[1]Region rate'!B:B,0))</f>
        <v>636.33333333333337</v>
      </c>
      <c r="H36" s="77">
        <f t="shared" si="1"/>
        <v>79.541666666666671</v>
      </c>
      <c r="I36" s="78"/>
      <c r="J36" s="78"/>
      <c r="K36" s="79">
        <v>112</v>
      </c>
      <c r="L36" s="79">
        <f>INDEX([1]Allowance!B:B,MATCH(F36,[1]Allowance!A:A,0))</f>
        <v>125</v>
      </c>
      <c r="M36" s="79"/>
      <c r="N36" s="79"/>
      <c r="O36" s="79"/>
      <c r="P36" s="79"/>
      <c r="Q36" s="78">
        <f t="shared" si="2"/>
        <v>0</v>
      </c>
      <c r="R36" s="78">
        <f t="shared" si="3"/>
        <v>0</v>
      </c>
      <c r="S36" s="78">
        <f t="shared" si="4"/>
        <v>0</v>
      </c>
      <c r="T36" s="78">
        <f t="shared" si="5"/>
        <v>0</v>
      </c>
      <c r="U36" s="79"/>
      <c r="V36" s="78">
        <f t="shared" si="30"/>
        <v>0</v>
      </c>
      <c r="W36" s="80"/>
      <c r="X36" s="80">
        <f t="shared" si="6"/>
        <v>0</v>
      </c>
      <c r="Y36" s="79"/>
      <c r="Z36" s="78">
        <f t="shared" si="7"/>
        <v>0</v>
      </c>
      <c r="AA36" s="80"/>
      <c r="AB36" s="78">
        <f t="shared" si="8"/>
        <v>0</v>
      </c>
      <c r="AC36" s="79"/>
      <c r="AD36" s="78">
        <f t="shared" si="9"/>
        <v>0</v>
      </c>
      <c r="AE36" s="80"/>
      <c r="AF36" s="78">
        <f t="shared" si="10"/>
        <v>0</v>
      </c>
      <c r="AG36" s="79"/>
      <c r="AH36" s="78">
        <f t="shared" si="11"/>
        <v>0</v>
      </c>
      <c r="AI36" s="80"/>
      <c r="AJ36" s="78">
        <f t="shared" si="12"/>
        <v>0</v>
      </c>
      <c r="AK36" s="80"/>
      <c r="AL36" s="78">
        <f t="shared" si="13"/>
        <v>0</v>
      </c>
      <c r="AM36" s="80"/>
      <c r="AN36" s="78">
        <f t="shared" si="14"/>
        <v>0</v>
      </c>
      <c r="AO36" s="80"/>
      <c r="AP36" s="78">
        <f t="shared" si="15"/>
        <v>0</v>
      </c>
      <c r="AQ36" s="80"/>
      <c r="AR36" s="78">
        <f t="shared" si="16"/>
        <v>0</v>
      </c>
      <c r="AS36" s="80"/>
      <c r="AT36" s="78">
        <f t="shared" si="17"/>
        <v>0</v>
      </c>
      <c r="AU36" s="80"/>
      <c r="AV36" s="78">
        <f t="shared" si="18"/>
        <v>0</v>
      </c>
      <c r="AW36" s="80"/>
      <c r="AX36" s="78">
        <f t="shared" si="19"/>
        <v>0</v>
      </c>
      <c r="AY36" s="80"/>
      <c r="AZ36" s="78">
        <f t="shared" si="20"/>
        <v>0</v>
      </c>
      <c r="BA36" s="80"/>
      <c r="BB36" s="78">
        <f t="shared" si="21"/>
        <v>0</v>
      </c>
      <c r="BC36" s="80"/>
      <c r="BD36" s="78">
        <f t="shared" si="22"/>
        <v>0</v>
      </c>
      <c r="BE36" s="80"/>
      <c r="BF36" s="78">
        <f t="shared" si="23"/>
        <v>0</v>
      </c>
      <c r="BG36" s="80"/>
      <c r="BH36" s="78">
        <f t="shared" si="24"/>
        <v>0</v>
      </c>
      <c r="BI36" s="80"/>
      <c r="BJ36" s="78">
        <f t="shared" si="25"/>
        <v>0</v>
      </c>
      <c r="BK36" s="80"/>
      <c r="BL36" s="78">
        <f t="shared" si="26"/>
        <v>0</v>
      </c>
      <c r="BM36" s="80"/>
      <c r="BN36" s="78">
        <f t="shared" si="27"/>
        <v>0</v>
      </c>
      <c r="BO36" s="80"/>
      <c r="BP36" s="78">
        <f t="shared" si="28"/>
        <v>0</v>
      </c>
      <c r="BQ36" s="80"/>
      <c r="BR36" s="78">
        <f t="shared" si="31"/>
        <v>0</v>
      </c>
      <c r="BS36" s="73"/>
      <c r="BT36" s="81">
        <f t="shared" si="29"/>
        <v>0</v>
      </c>
      <c r="BU36" s="81"/>
      <c r="BV36" s="81"/>
      <c r="BW36" s="81"/>
      <c r="BX36" s="81">
        <f t="shared" si="0"/>
        <v>0</v>
      </c>
    </row>
    <row r="37" spans="1:76" s="82" customFormat="1" x14ac:dyDescent="0.3">
      <c r="A37" s="73">
        <v>63591</v>
      </c>
      <c r="B37" s="83" t="s">
        <v>99</v>
      </c>
      <c r="C37" s="74" t="s">
        <v>60</v>
      </c>
      <c r="D37" s="74" t="s">
        <v>100</v>
      </c>
      <c r="E37" s="74" t="str">
        <f>INDEX('[1]Branch code'!F:F,MATCH(D37,'[1]Branch code'!D:D,0))</f>
        <v xml:space="preserve"> Megane Specs Corp.</v>
      </c>
      <c r="F37" s="75" t="str">
        <f>INDEX('[1]Region rate'!B:B,MATCH(D37,'[1]Region rate'!A:A,0))</f>
        <v>4A1</v>
      </c>
      <c r="G37" s="76">
        <f>INDEX('[1]Region rate'!C:C,MATCH(F37,'[1]Region rate'!B:B,0))</f>
        <v>684.51282051282044</v>
      </c>
      <c r="H37" s="77">
        <f t="shared" si="1"/>
        <v>85.564102564102555</v>
      </c>
      <c r="I37" s="78">
        <v>0.12</v>
      </c>
      <c r="J37" s="78">
        <v>4</v>
      </c>
      <c r="K37" s="79">
        <v>8</v>
      </c>
      <c r="L37" s="79">
        <f>INDEX([1]Allowance!B:B,MATCH(F37,[1]Allowance!A:A,0))</f>
        <v>85</v>
      </c>
      <c r="M37" s="79"/>
      <c r="N37" s="79"/>
      <c r="O37" s="79"/>
      <c r="P37" s="79">
        <v>99.88</v>
      </c>
      <c r="Q37" s="78">
        <f t="shared" si="2"/>
        <v>8546.1425641025635</v>
      </c>
      <c r="R37" s="78">
        <f t="shared" si="3"/>
        <v>1061.2249999999999</v>
      </c>
      <c r="S37" s="78">
        <f t="shared" si="4"/>
        <v>0</v>
      </c>
      <c r="T37" s="78">
        <f t="shared" si="5"/>
        <v>0</v>
      </c>
      <c r="U37" s="79"/>
      <c r="V37" s="78">
        <f t="shared" si="30"/>
        <v>0</v>
      </c>
      <c r="W37" s="80"/>
      <c r="X37" s="80">
        <f t="shared" si="6"/>
        <v>0</v>
      </c>
      <c r="Y37" s="79">
        <v>11.5</v>
      </c>
      <c r="Z37" s="78">
        <f t="shared" si="7"/>
        <v>1229.9839743589741</v>
      </c>
      <c r="AA37" s="80"/>
      <c r="AB37" s="78">
        <f t="shared" si="8"/>
        <v>0</v>
      </c>
      <c r="AC37" s="79"/>
      <c r="AD37" s="78">
        <f t="shared" si="9"/>
        <v>0</v>
      </c>
      <c r="AE37" s="80"/>
      <c r="AF37" s="78">
        <f t="shared" si="10"/>
        <v>0</v>
      </c>
      <c r="AG37" s="79"/>
      <c r="AH37" s="78">
        <f t="shared" si="11"/>
        <v>0</v>
      </c>
      <c r="AI37" s="80"/>
      <c r="AJ37" s="78">
        <f t="shared" si="12"/>
        <v>0</v>
      </c>
      <c r="AK37" s="80"/>
      <c r="AL37" s="78">
        <f t="shared" si="13"/>
        <v>0</v>
      </c>
      <c r="AM37" s="80"/>
      <c r="AN37" s="78">
        <f t="shared" si="14"/>
        <v>0</v>
      </c>
      <c r="AO37" s="80"/>
      <c r="AP37" s="78">
        <f t="shared" si="15"/>
        <v>0</v>
      </c>
      <c r="AQ37" s="80"/>
      <c r="AR37" s="78">
        <f t="shared" si="16"/>
        <v>0</v>
      </c>
      <c r="AS37" s="80"/>
      <c r="AT37" s="78">
        <f t="shared" si="17"/>
        <v>0</v>
      </c>
      <c r="AU37" s="80"/>
      <c r="AV37" s="78">
        <f t="shared" si="18"/>
        <v>0</v>
      </c>
      <c r="AW37" s="80"/>
      <c r="AX37" s="78">
        <f t="shared" si="19"/>
        <v>0</v>
      </c>
      <c r="AY37" s="80"/>
      <c r="AZ37" s="78">
        <f t="shared" si="20"/>
        <v>0</v>
      </c>
      <c r="BA37" s="80"/>
      <c r="BB37" s="78">
        <f t="shared" si="21"/>
        <v>0</v>
      </c>
      <c r="BC37" s="80"/>
      <c r="BD37" s="78">
        <f t="shared" si="22"/>
        <v>0</v>
      </c>
      <c r="BE37" s="80"/>
      <c r="BF37" s="78">
        <f t="shared" si="23"/>
        <v>0</v>
      </c>
      <c r="BG37" s="80"/>
      <c r="BH37" s="78">
        <f t="shared" si="24"/>
        <v>0</v>
      </c>
      <c r="BI37" s="80"/>
      <c r="BJ37" s="78">
        <f t="shared" si="25"/>
        <v>0</v>
      </c>
      <c r="BK37" s="80"/>
      <c r="BL37" s="78">
        <f t="shared" si="26"/>
        <v>0</v>
      </c>
      <c r="BM37" s="80"/>
      <c r="BN37" s="78">
        <f t="shared" si="27"/>
        <v>0</v>
      </c>
      <c r="BO37" s="80"/>
      <c r="BP37" s="78">
        <f t="shared" si="28"/>
        <v>0</v>
      </c>
      <c r="BQ37" s="80"/>
      <c r="BR37" s="78">
        <f t="shared" si="31"/>
        <v>0</v>
      </c>
      <c r="BS37" s="73"/>
      <c r="BT37" s="81">
        <f t="shared" si="29"/>
        <v>0</v>
      </c>
      <c r="BU37" s="81"/>
      <c r="BV37" s="84">
        <f>H37*Z5*2</f>
        <v>213.91025641025638</v>
      </c>
      <c r="BW37" s="81"/>
      <c r="BX37" s="81">
        <f t="shared" si="0"/>
        <v>9776.1265384615381</v>
      </c>
    </row>
    <row r="38" spans="1:76" s="82" customFormat="1" x14ac:dyDescent="0.3">
      <c r="A38" s="73">
        <v>37780</v>
      </c>
      <c r="B38" s="74" t="s">
        <v>101</v>
      </c>
      <c r="C38" s="74" t="s">
        <v>39</v>
      </c>
      <c r="D38" s="74" t="s">
        <v>102</v>
      </c>
      <c r="E38" s="74" t="str">
        <f>INDEX('[1]Branch code'!F:F,MATCH(D38,'[1]Branch code'!D:D,0))</f>
        <v xml:space="preserve"> VueConcepts, Inc.</v>
      </c>
      <c r="F38" s="75" t="str">
        <f>INDEX('[1]Region rate'!B:B,MATCH(D38,'[1]Region rate'!A:A,0))</f>
        <v>7B</v>
      </c>
      <c r="G38" s="76">
        <f>INDEX('[1]Region rate'!C:C,MATCH(F38,'[1]Region rate'!B:B,0))</f>
        <v>567.38910256410259</v>
      </c>
      <c r="H38" s="77">
        <f t="shared" si="1"/>
        <v>70.923637820512823</v>
      </c>
      <c r="I38" s="78"/>
      <c r="J38" s="78"/>
      <c r="K38" s="79">
        <v>112</v>
      </c>
      <c r="L38" s="79">
        <f>INDEX([1]Allowance!B:B,MATCH(F38,[1]Allowance!A:A,0))</f>
        <v>182</v>
      </c>
      <c r="M38" s="79"/>
      <c r="N38" s="79"/>
      <c r="O38" s="79"/>
      <c r="P38" s="79"/>
      <c r="Q38" s="78">
        <f t="shared" si="2"/>
        <v>0</v>
      </c>
      <c r="R38" s="78">
        <f t="shared" si="3"/>
        <v>0</v>
      </c>
      <c r="S38" s="78">
        <f t="shared" si="4"/>
        <v>0</v>
      </c>
      <c r="T38" s="78">
        <f t="shared" si="5"/>
        <v>0</v>
      </c>
      <c r="U38" s="79"/>
      <c r="V38" s="78">
        <f t="shared" si="30"/>
        <v>0</v>
      </c>
      <c r="W38" s="80"/>
      <c r="X38" s="80">
        <f t="shared" si="6"/>
        <v>0</v>
      </c>
      <c r="Y38" s="79"/>
      <c r="Z38" s="78">
        <f t="shared" si="7"/>
        <v>0</v>
      </c>
      <c r="AA38" s="80"/>
      <c r="AB38" s="78">
        <f t="shared" si="8"/>
        <v>0</v>
      </c>
      <c r="AC38" s="79"/>
      <c r="AD38" s="78">
        <f t="shared" si="9"/>
        <v>0</v>
      </c>
      <c r="AE38" s="80"/>
      <c r="AF38" s="78">
        <f t="shared" si="10"/>
        <v>0</v>
      </c>
      <c r="AG38" s="79"/>
      <c r="AH38" s="78">
        <f t="shared" si="11"/>
        <v>0</v>
      </c>
      <c r="AI38" s="80"/>
      <c r="AJ38" s="78">
        <f t="shared" si="12"/>
        <v>0</v>
      </c>
      <c r="AK38" s="80"/>
      <c r="AL38" s="78">
        <f t="shared" si="13"/>
        <v>0</v>
      </c>
      <c r="AM38" s="80"/>
      <c r="AN38" s="78">
        <f t="shared" si="14"/>
        <v>0</v>
      </c>
      <c r="AO38" s="80"/>
      <c r="AP38" s="78">
        <f t="shared" si="15"/>
        <v>0</v>
      </c>
      <c r="AQ38" s="80"/>
      <c r="AR38" s="78">
        <f t="shared" si="16"/>
        <v>0</v>
      </c>
      <c r="AS38" s="80"/>
      <c r="AT38" s="78">
        <f t="shared" si="17"/>
        <v>0</v>
      </c>
      <c r="AU38" s="80"/>
      <c r="AV38" s="78">
        <f t="shared" si="18"/>
        <v>0</v>
      </c>
      <c r="AW38" s="80"/>
      <c r="AX38" s="78">
        <f t="shared" si="19"/>
        <v>0</v>
      </c>
      <c r="AY38" s="80"/>
      <c r="AZ38" s="78">
        <f t="shared" si="20"/>
        <v>0</v>
      </c>
      <c r="BA38" s="80"/>
      <c r="BB38" s="78">
        <f t="shared" si="21"/>
        <v>0</v>
      </c>
      <c r="BC38" s="80"/>
      <c r="BD38" s="78">
        <f t="shared" si="22"/>
        <v>0</v>
      </c>
      <c r="BE38" s="80"/>
      <c r="BF38" s="78">
        <f t="shared" si="23"/>
        <v>0</v>
      </c>
      <c r="BG38" s="80"/>
      <c r="BH38" s="78">
        <f t="shared" si="24"/>
        <v>0</v>
      </c>
      <c r="BI38" s="80"/>
      <c r="BJ38" s="78">
        <f t="shared" si="25"/>
        <v>0</v>
      </c>
      <c r="BK38" s="80"/>
      <c r="BL38" s="78">
        <f t="shared" si="26"/>
        <v>0</v>
      </c>
      <c r="BM38" s="80"/>
      <c r="BN38" s="78">
        <f t="shared" si="27"/>
        <v>0</v>
      </c>
      <c r="BO38" s="80"/>
      <c r="BP38" s="78">
        <f t="shared" si="28"/>
        <v>0</v>
      </c>
      <c r="BQ38" s="80"/>
      <c r="BR38" s="78">
        <f t="shared" si="31"/>
        <v>0</v>
      </c>
      <c r="BS38" s="73"/>
      <c r="BT38" s="81">
        <f t="shared" si="29"/>
        <v>0</v>
      </c>
      <c r="BU38" s="81"/>
      <c r="BV38" s="81"/>
      <c r="BW38" s="81"/>
      <c r="BX38" s="81">
        <f t="shared" si="0"/>
        <v>0</v>
      </c>
    </row>
    <row r="39" spans="1:76" s="82" customFormat="1" x14ac:dyDescent="0.3">
      <c r="A39" s="73">
        <v>37734</v>
      </c>
      <c r="B39" s="74" t="s">
        <v>103</v>
      </c>
      <c r="C39" s="74" t="s">
        <v>39</v>
      </c>
      <c r="D39" s="74" t="s">
        <v>104</v>
      </c>
      <c r="E39" s="74" t="str">
        <f>INDEX('[1]Branch code'!F:F,MATCH(D39,'[1]Branch code'!D:D,0))</f>
        <v xml:space="preserve"> Occhialli, Inc.</v>
      </c>
      <c r="F39" s="75">
        <f>INDEX('[1]Region rate'!B:B,MATCH(D39,'[1]Region rate'!A:A,0))</f>
        <v>1</v>
      </c>
      <c r="G39" s="76">
        <f>INDEX('[1]Region rate'!C:C,MATCH(F39,'[1]Region rate'!B:B,0))</f>
        <v>572.93076923076933</v>
      </c>
      <c r="H39" s="77">
        <f t="shared" si="1"/>
        <v>71.616346153846166</v>
      </c>
      <c r="I39" s="78">
        <v>0.17</v>
      </c>
      <c r="J39" s="78"/>
      <c r="K39" s="79">
        <v>32</v>
      </c>
      <c r="L39" s="79">
        <f>INDEX([1]Allowance!B:B,MATCH(F39,[1]Allowance!A:A,0))</f>
        <v>177</v>
      </c>
      <c r="M39" s="79"/>
      <c r="N39" s="79"/>
      <c r="O39" s="79"/>
      <c r="P39" s="79">
        <v>79.83</v>
      </c>
      <c r="Q39" s="78">
        <f t="shared" si="2"/>
        <v>5717.1329134615389</v>
      </c>
      <c r="R39" s="78">
        <f t="shared" si="3"/>
        <v>1766.23875</v>
      </c>
      <c r="S39" s="78">
        <f t="shared" si="4"/>
        <v>0</v>
      </c>
      <c r="T39" s="78">
        <f t="shared" si="5"/>
        <v>0</v>
      </c>
      <c r="U39" s="79"/>
      <c r="V39" s="78">
        <f t="shared" si="30"/>
        <v>0</v>
      </c>
      <c r="W39" s="80">
        <v>0.09</v>
      </c>
      <c r="X39" s="80">
        <f t="shared" si="6"/>
        <v>6.4454711538461549</v>
      </c>
      <c r="Y39" s="79"/>
      <c r="Z39" s="78">
        <f t="shared" si="7"/>
        <v>0</v>
      </c>
      <c r="AA39" s="80"/>
      <c r="AB39" s="78">
        <f t="shared" si="8"/>
        <v>0</v>
      </c>
      <c r="AC39" s="79"/>
      <c r="AD39" s="78">
        <f t="shared" si="9"/>
        <v>0</v>
      </c>
      <c r="AE39" s="80"/>
      <c r="AF39" s="78">
        <f t="shared" si="10"/>
        <v>0</v>
      </c>
      <c r="AG39" s="79"/>
      <c r="AH39" s="78">
        <f t="shared" si="11"/>
        <v>0</v>
      </c>
      <c r="AI39" s="80"/>
      <c r="AJ39" s="78">
        <f t="shared" si="12"/>
        <v>0</v>
      </c>
      <c r="AK39" s="80"/>
      <c r="AL39" s="78">
        <f t="shared" si="13"/>
        <v>0</v>
      </c>
      <c r="AM39" s="80"/>
      <c r="AN39" s="78">
        <f t="shared" si="14"/>
        <v>0</v>
      </c>
      <c r="AO39" s="80"/>
      <c r="AP39" s="78">
        <f t="shared" si="15"/>
        <v>0</v>
      </c>
      <c r="AQ39" s="80"/>
      <c r="AR39" s="78">
        <f t="shared" si="16"/>
        <v>0</v>
      </c>
      <c r="AS39" s="80"/>
      <c r="AT39" s="78">
        <f t="shared" si="17"/>
        <v>0</v>
      </c>
      <c r="AU39" s="80"/>
      <c r="AV39" s="78">
        <f t="shared" si="18"/>
        <v>0</v>
      </c>
      <c r="AW39" s="80"/>
      <c r="AX39" s="78">
        <f t="shared" si="19"/>
        <v>0</v>
      </c>
      <c r="AY39" s="80"/>
      <c r="AZ39" s="78">
        <f t="shared" si="20"/>
        <v>0</v>
      </c>
      <c r="BA39" s="80"/>
      <c r="BB39" s="78">
        <f t="shared" si="21"/>
        <v>0</v>
      </c>
      <c r="BC39" s="80"/>
      <c r="BD39" s="78">
        <f t="shared" si="22"/>
        <v>0</v>
      </c>
      <c r="BE39" s="80"/>
      <c r="BF39" s="78">
        <f t="shared" si="23"/>
        <v>0</v>
      </c>
      <c r="BG39" s="80"/>
      <c r="BH39" s="78">
        <f t="shared" si="24"/>
        <v>0</v>
      </c>
      <c r="BI39" s="80"/>
      <c r="BJ39" s="78">
        <f t="shared" si="25"/>
        <v>0</v>
      </c>
      <c r="BK39" s="80"/>
      <c r="BL39" s="78">
        <f t="shared" si="26"/>
        <v>0</v>
      </c>
      <c r="BM39" s="80"/>
      <c r="BN39" s="78">
        <f t="shared" si="27"/>
        <v>0</v>
      </c>
      <c r="BO39" s="80"/>
      <c r="BP39" s="78">
        <f t="shared" si="28"/>
        <v>0</v>
      </c>
      <c r="BQ39" s="80"/>
      <c r="BR39" s="78">
        <f t="shared" si="31"/>
        <v>0</v>
      </c>
      <c r="BS39" s="73"/>
      <c r="BT39" s="81">
        <f t="shared" si="29"/>
        <v>0</v>
      </c>
      <c r="BU39" s="81"/>
      <c r="BV39" s="81"/>
      <c r="BW39" s="81"/>
      <c r="BX39" s="81">
        <f t="shared" si="0"/>
        <v>5710.6874423076924</v>
      </c>
    </row>
    <row r="40" spans="1:76" s="118" customFormat="1" x14ac:dyDescent="0.3">
      <c r="A40" s="109">
        <v>51835</v>
      </c>
      <c r="B40" s="110" t="s">
        <v>105</v>
      </c>
      <c r="C40" s="110" t="s">
        <v>44</v>
      </c>
      <c r="D40" s="110" t="s">
        <v>106</v>
      </c>
      <c r="E40" s="110" t="str">
        <f>INDEX('[1]Branch code'!F:F,MATCH(D40,'[1]Branch code'!D:D,0))</f>
        <v xml:space="preserve"> Megane Specs Corp.</v>
      </c>
      <c r="F40" s="111" t="str">
        <f>INDEX('[1]Region rate'!B:B,MATCH(D40,'[1]Region rate'!A:A,0))</f>
        <v>NCR</v>
      </c>
      <c r="G40" s="112">
        <v>845.38</v>
      </c>
      <c r="H40" s="113">
        <f t="shared" si="1"/>
        <v>105.6725</v>
      </c>
      <c r="I40" s="114">
        <v>1.17</v>
      </c>
      <c r="J40" s="114"/>
      <c r="K40" s="115">
        <v>16</v>
      </c>
      <c r="L40" s="115">
        <v>153.84</v>
      </c>
      <c r="M40" s="115"/>
      <c r="N40" s="115"/>
      <c r="O40" s="115"/>
      <c r="P40" s="115">
        <v>94.83</v>
      </c>
      <c r="Q40" s="114">
        <f t="shared" si="2"/>
        <v>10020.923175</v>
      </c>
      <c r="R40" s="114">
        <f t="shared" si="3"/>
        <v>1823.5808999999999</v>
      </c>
      <c r="S40" s="114">
        <f t="shared" si="4"/>
        <v>0</v>
      </c>
      <c r="T40" s="114">
        <f t="shared" si="5"/>
        <v>0</v>
      </c>
      <c r="U40" s="115"/>
      <c r="V40" s="114">
        <f t="shared" si="30"/>
        <v>0</v>
      </c>
      <c r="W40" s="116"/>
      <c r="X40" s="116">
        <f t="shared" si="6"/>
        <v>0</v>
      </c>
      <c r="Y40" s="115">
        <v>4</v>
      </c>
      <c r="Z40" s="114">
        <f t="shared" si="7"/>
        <v>528.36249999999995</v>
      </c>
      <c r="AA40" s="116"/>
      <c r="AB40" s="114">
        <f t="shared" si="8"/>
        <v>0</v>
      </c>
      <c r="AC40" s="115"/>
      <c r="AD40" s="114">
        <f t="shared" si="9"/>
        <v>0</v>
      </c>
      <c r="AE40" s="116"/>
      <c r="AF40" s="114">
        <f t="shared" si="10"/>
        <v>0</v>
      </c>
      <c r="AG40" s="115"/>
      <c r="AH40" s="114">
        <f t="shared" si="11"/>
        <v>0</v>
      </c>
      <c r="AI40" s="116"/>
      <c r="AJ40" s="114">
        <f t="shared" si="12"/>
        <v>0</v>
      </c>
      <c r="AK40" s="116"/>
      <c r="AL40" s="114">
        <f t="shared" si="13"/>
        <v>0</v>
      </c>
      <c r="AM40" s="116"/>
      <c r="AN40" s="114">
        <f t="shared" si="14"/>
        <v>0</v>
      </c>
      <c r="AO40" s="116"/>
      <c r="AP40" s="114">
        <f t="shared" si="15"/>
        <v>0</v>
      </c>
      <c r="AQ40" s="116"/>
      <c r="AR40" s="114">
        <f t="shared" si="16"/>
        <v>0</v>
      </c>
      <c r="AS40" s="116"/>
      <c r="AT40" s="114">
        <f t="shared" si="17"/>
        <v>0</v>
      </c>
      <c r="AU40" s="116"/>
      <c r="AV40" s="114">
        <f t="shared" si="18"/>
        <v>0</v>
      </c>
      <c r="AW40" s="116"/>
      <c r="AX40" s="114">
        <f t="shared" si="19"/>
        <v>0</v>
      </c>
      <c r="AY40" s="116"/>
      <c r="AZ40" s="114">
        <f t="shared" si="20"/>
        <v>0</v>
      </c>
      <c r="BA40" s="116"/>
      <c r="BB40" s="114">
        <f t="shared" si="21"/>
        <v>0</v>
      </c>
      <c r="BC40" s="116"/>
      <c r="BD40" s="114">
        <f t="shared" si="22"/>
        <v>0</v>
      </c>
      <c r="BE40" s="116"/>
      <c r="BF40" s="114">
        <f t="shared" si="23"/>
        <v>0</v>
      </c>
      <c r="BG40" s="116"/>
      <c r="BH40" s="114">
        <f t="shared" si="24"/>
        <v>0</v>
      </c>
      <c r="BI40" s="116"/>
      <c r="BJ40" s="114">
        <f t="shared" si="25"/>
        <v>0</v>
      </c>
      <c r="BK40" s="116"/>
      <c r="BL40" s="114">
        <f t="shared" si="26"/>
        <v>0</v>
      </c>
      <c r="BM40" s="116"/>
      <c r="BN40" s="114">
        <f t="shared" si="27"/>
        <v>0</v>
      </c>
      <c r="BO40" s="116"/>
      <c r="BP40" s="114">
        <f t="shared" si="28"/>
        <v>0</v>
      </c>
      <c r="BQ40" s="116"/>
      <c r="BR40" s="114">
        <f t="shared" si="31"/>
        <v>0</v>
      </c>
      <c r="BS40" s="109"/>
      <c r="BT40" s="117">
        <f t="shared" si="29"/>
        <v>0</v>
      </c>
      <c r="BU40" s="117"/>
      <c r="BV40" s="117"/>
      <c r="BW40" s="117"/>
      <c r="BX40" s="117">
        <f t="shared" si="0"/>
        <v>10549.285674999999</v>
      </c>
    </row>
    <row r="41" spans="1:76" s="82" customFormat="1" x14ac:dyDescent="0.3">
      <c r="A41" s="73">
        <v>64402</v>
      </c>
      <c r="B41" s="74" t="s">
        <v>107</v>
      </c>
      <c r="C41" s="74" t="s">
        <v>60</v>
      </c>
      <c r="D41" s="74" t="s">
        <v>108</v>
      </c>
      <c r="E41" s="74" t="str">
        <f>INDEX('[1]Branch code'!F:F,MATCH(D41,'[1]Branch code'!D:D,0))</f>
        <v xml:space="preserve"> Vue Circle Corp.</v>
      </c>
      <c r="F41" s="75" t="str">
        <f>INDEX('[1]Region rate'!B:B,MATCH(D41,'[1]Region rate'!A:A,0))</f>
        <v>4A2</v>
      </c>
      <c r="G41" s="76">
        <f>INDEX('[1]Region rate'!C:C,MATCH(F41,'[1]Region rate'!B:B,0))</f>
        <v>636.33333333333337</v>
      </c>
      <c r="H41" s="77">
        <f t="shared" si="1"/>
        <v>79.541666666666671</v>
      </c>
      <c r="I41" s="78"/>
      <c r="J41" s="78">
        <v>5.78</v>
      </c>
      <c r="K41" s="79">
        <v>8</v>
      </c>
      <c r="L41" s="79">
        <f>INDEX([1]Allowance!B:B,MATCH(F41,[1]Allowance!A:A,0))</f>
        <v>125</v>
      </c>
      <c r="M41" s="79"/>
      <c r="N41" s="79"/>
      <c r="O41" s="79"/>
      <c r="P41" s="79">
        <v>98.22</v>
      </c>
      <c r="Q41" s="78">
        <f t="shared" si="2"/>
        <v>7812.5825000000004</v>
      </c>
      <c r="R41" s="78">
        <f t="shared" si="3"/>
        <v>1534.6875</v>
      </c>
      <c r="S41" s="78">
        <f t="shared" si="4"/>
        <v>0</v>
      </c>
      <c r="T41" s="78">
        <f t="shared" si="5"/>
        <v>0</v>
      </c>
      <c r="U41" s="79"/>
      <c r="V41" s="78">
        <f t="shared" si="30"/>
        <v>0</v>
      </c>
      <c r="W41" s="80">
        <v>0.38</v>
      </c>
      <c r="X41" s="80">
        <f t="shared" si="6"/>
        <v>30.225833333333334</v>
      </c>
      <c r="Y41" s="79">
        <v>3</v>
      </c>
      <c r="Z41" s="78">
        <f t="shared" si="7"/>
        <v>298.28125</v>
      </c>
      <c r="AA41" s="80"/>
      <c r="AB41" s="78">
        <f t="shared" si="8"/>
        <v>0</v>
      </c>
      <c r="AC41" s="79"/>
      <c r="AD41" s="78">
        <f t="shared" si="9"/>
        <v>0</v>
      </c>
      <c r="AE41" s="80"/>
      <c r="AF41" s="78">
        <f t="shared" si="10"/>
        <v>0</v>
      </c>
      <c r="AG41" s="79"/>
      <c r="AH41" s="78">
        <f t="shared" si="11"/>
        <v>0</v>
      </c>
      <c r="AI41" s="80"/>
      <c r="AJ41" s="78">
        <f t="shared" si="12"/>
        <v>0</v>
      </c>
      <c r="AK41" s="80"/>
      <c r="AL41" s="78">
        <f t="shared" si="13"/>
        <v>0</v>
      </c>
      <c r="AM41" s="80"/>
      <c r="AN41" s="78">
        <f t="shared" si="14"/>
        <v>0</v>
      </c>
      <c r="AO41" s="80"/>
      <c r="AP41" s="78">
        <f t="shared" si="15"/>
        <v>0</v>
      </c>
      <c r="AQ41" s="80"/>
      <c r="AR41" s="78">
        <f t="shared" si="16"/>
        <v>0</v>
      </c>
      <c r="AS41" s="80"/>
      <c r="AT41" s="78">
        <f t="shared" si="17"/>
        <v>0</v>
      </c>
      <c r="AU41" s="80"/>
      <c r="AV41" s="78">
        <f t="shared" si="18"/>
        <v>0</v>
      </c>
      <c r="AW41" s="80"/>
      <c r="AX41" s="78">
        <f t="shared" si="19"/>
        <v>0</v>
      </c>
      <c r="AY41" s="80"/>
      <c r="AZ41" s="78">
        <f t="shared" si="20"/>
        <v>0</v>
      </c>
      <c r="BA41" s="80"/>
      <c r="BB41" s="78">
        <f t="shared" si="21"/>
        <v>0</v>
      </c>
      <c r="BC41" s="80"/>
      <c r="BD41" s="78">
        <f t="shared" si="22"/>
        <v>0</v>
      </c>
      <c r="BE41" s="80"/>
      <c r="BF41" s="78">
        <f t="shared" si="23"/>
        <v>0</v>
      </c>
      <c r="BG41" s="80"/>
      <c r="BH41" s="78">
        <f t="shared" si="24"/>
        <v>0</v>
      </c>
      <c r="BI41" s="80"/>
      <c r="BJ41" s="78">
        <f t="shared" si="25"/>
        <v>0</v>
      </c>
      <c r="BK41" s="80"/>
      <c r="BL41" s="78">
        <f t="shared" si="26"/>
        <v>0</v>
      </c>
      <c r="BM41" s="80"/>
      <c r="BN41" s="78">
        <f t="shared" si="27"/>
        <v>0</v>
      </c>
      <c r="BO41" s="80"/>
      <c r="BP41" s="78">
        <f t="shared" si="28"/>
        <v>0</v>
      </c>
      <c r="BQ41" s="80"/>
      <c r="BR41" s="78">
        <f t="shared" si="31"/>
        <v>0</v>
      </c>
      <c r="BS41" s="73"/>
      <c r="BT41" s="81">
        <f t="shared" si="29"/>
        <v>0</v>
      </c>
      <c r="BU41" s="81"/>
      <c r="BV41" s="81"/>
      <c r="BW41" s="81"/>
      <c r="BX41" s="81">
        <f t="shared" si="0"/>
        <v>8080.6379166666675</v>
      </c>
    </row>
    <row r="42" spans="1:76" s="82" customFormat="1" x14ac:dyDescent="0.3">
      <c r="A42" s="73">
        <v>37651</v>
      </c>
      <c r="B42" s="74" t="s">
        <v>109</v>
      </c>
      <c r="C42" s="74" t="s">
        <v>39</v>
      </c>
      <c r="D42" s="74" t="s">
        <v>110</v>
      </c>
      <c r="E42" s="74" t="str">
        <f>INDEX('[1]Branch code'!F:F,MATCH(D42,'[1]Branch code'!D:D,0))</f>
        <v xml:space="preserve"> Executive Optical, Inc.</v>
      </c>
      <c r="F42" s="75">
        <f>INDEX('[1]Region rate'!B:B,MATCH(D42,'[1]Region rate'!A:A,0))</f>
        <v>6</v>
      </c>
      <c r="G42" s="76">
        <f>INDEX('[1]Region rate'!C:C,MATCH(F42,'[1]Region rate'!B:B,0))</f>
        <v>628.57500000000005</v>
      </c>
      <c r="H42" s="77">
        <f t="shared" si="1"/>
        <v>78.571875000000006</v>
      </c>
      <c r="I42" s="78"/>
      <c r="J42" s="78"/>
      <c r="K42" s="79">
        <v>16</v>
      </c>
      <c r="L42" s="79">
        <f>INDEX([1]Allowance!B:B,MATCH(F42,[1]Allowance!A:A,0))</f>
        <v>132</v>
      </c>
      <c r="M42" s="79"/>
      <c r="N42" s="79"/>
      <c r="O42" s="79"/>
      <c r="P42" s="79">
        <v>96</v>
      </c>
      <c r="Q42" s="78">
        <f t="shared" si="2"/>
        <v>7542.9000000000005</v>
      </c>
      <c r="R42" s="78">
        <f t="shared" si="3"/>
        <v>1584</v>
      </c>
      <c r="S42" s="78">
        <f t="shared" si="4"/>
        <v>0</v>
      </c>
      <c r="T42" s="78">
        <f t="shared" si="5"/>
        <v>0</v>
      </c>
      <c r="U42" s="79"/>
      <c r="V42" s="78">
        <f t="shared" si="30"/>
        <v>0</v>
      </c>
      <c r="W42" s="80">
        <v>0.02</v>
      </c>
      <c r="X42" s="80">
        <f t="shared" si="6"/>
        <v>1.5714375</v>
      </c>
      <c r="Y42" s="79"/>
      <c r="Z42" s="78">
        <f t="shared" si="7"/>
        <v>0</v>
      </c>
      <c r="AA42" s="80"/>
      <c r="AB42" s="78">
        <f t="shared" si="8"/>
        <v>0</v>
      </c>
      <c r="AC42" s="79"/>
      <c r="AD42" s="78">
        <f t="shared" si="9"/>
        <v>0</v>
      </c>
      <c r="AE42" s="80"/>
      <c r="AF42" s="78">
        <f t="shared" si="10"/>
        <v>0</v>
      </c>
      <c r="AG42" s="79"/>
      <c r="AH42" s="78">
        <f t="shared" si="11"/>
        <v>0</v>
      </c>
      <c r="AI42" s="80"/>
      <c r="AJ42" s="78">
        <f t="shared" si="12"/>
        <v>0</v>
      </c>
      <c r="AK42" s="80"/>
      <c r="AL42" s="78">
        <f t="shared" si="13"/>
        <v>0</v>
      </c>
      <c r="AM42" s="80"/>
      <c r="AN42" s="78">
        <f t="shared" si="14"/>
        <v>0</v>
      </c>
      <c r="AO42" s="80"/>
      <c r="AP42" s="78">
        <f t="shared" si="15"/>
        <v>0</v>
      </c>
      <c r="AQ42" s="80"/>
      <c r="AR42" s="78">
        <f t="shared" si="16"/>
        <v>0</v>
      </c>
      <c r="AS42" s="80"/>
      <c r="AT42" s="78">
        <f t="shared" si="17"/>
        <v>0</v>
      </c>
      <c r="AU42" s="80"/>
      <c r="AV42" s="78">
        <f t="shared" si="18"/>
        <v>0</v>
      </c>
      <c r="AW42" s="80"/>
      <c r="AX42" s="78">
        <f t="shared" si="19"/>
        <v>0</v>
      </c>
      <c r="AY42" s="80"/>
      <c r="AZ42" s="78">
        <f t="shared" si="20"/>
        <v>0</v>
      </c>
      <c r="BA42" s="80"/>
      <c r="BB42" s="78">
        <f t="shared" si="21"/>
        <v>0</v>
      </c>
      <c r="BC42" s="80"/>
      <c r="BD42" s="78">
        <f t="shared" si="22"/>
        <v>0</v>
      </c>
      <c r="BE42" s="80"/>
      <c r="BF42" s="78">
        <f t="shared" si="23"/>
        <v>0</v>
      </c>
      <c r="BG42" s="80"/>
      <c r="BH42" s="78">
        <f t="shared" si="24"/>
        <v>0</v>
      </c>
      <c r="BI42" s="80"/>
      <c r="BJ42" s="78">
        <f t="shared" si="25"/>
        <v>0</v>
      </c>
      <c r="BK42" s="80"/>
      <c r="BL42" s="78">
        <f t="shared" si="26"/>
        <v>0</v>
      </c>
      <c r="BM42" s="80"/>
      <c r="BN42" s="78">
        <f t="shared" si="27"/>
        <v>0</v>
      </c>
      <c r="BO42" s="80"/>
      <c r="BP42" s="78">
        <f t="shared" si="28"/>
        <v>0</v>
      </c>
      <c r="BQ42" s="80"/>
      <c r="BR42" s="78">
        <f t="shared" si="31"/>
        <v>0</v>
      </c>
      <c r="BS42" s="73"/>
      <c r="BT42" s="81">
        <f t="shared" si="29"/>
        <v>0</v>
      </c>
      <c r="BU42" s="81"/>
      <c r="BV42" s="81"/>
      <c r="BW42" s="81"/>
      <c r="BX42" s="81">
        <f t="shared" si="0"/>
        <v>7541.3285625000008</v>
      </c>
    </row>
    <row r="43" spans="1:76" s="82" customFormat="1" x14ac:dyDescent="0.3">
      <c r="A43" s="73">
        <v>63638</v>
      </c>
      <c r="B43" s="74" t="s">
        <v>111</v>
      </c>
      <c r="C43" s="74" t="s">
        <v>39</v>
      </c>
      <c r="D43" s="74" t="s">
        <v>112</v>
      </c>
      <c r="E43" s="74" t="str">
        <f>INDEX('[1]Branch code'!F:F,MATCH(D43,'[1]Branch code'!D:D,0))</f>
        <v xml:space="preserve"> Executive Optical, Inc.</v>
      </c>
      <c r="F43" s="75" t="str">
        <f>INDEX('[1]Region rate'!B:B,MATCH(D43,'[1]Region rate'!A:A,0))</f>
        <v>4A1</v>
      </c>
      <c r="G43" s="76">
        <f>INDEX('[1]Region rate'!C:C,MATCH(F43,'[1]Region rate'!B:B,0))</f>
        <v>684.51282051282044</v>
      </c>
      <c r="H43" s="77">
        <f t="shared" si="1"/>
        <v>85.564102564102555</v>
      </c>
      <c r="I43" s="78"/>
      <c r="J43" s="78"/>
      <c r="K43" s="79">
        <v>112</v>
      </c>
      <c r="L43" s="79">
        <f>INDEX([1]Allowance!B:B,MATCH(F43,[1]Allowance!A:A,0))</f>
        <v>85</v>
      </c>
      <c r="M43" s="79"/>
      <c r="N43" s="79"/>
      <c r="O43" s="79"/>
      <c r="P43" s="79"/>
      <c r="Q43" s="78">
        <f t="shared" si="2"/>
        <v>0</v>
      </c>
      <c r="R43" s="78">
        <f t="shared" si="3"/>
        <v>0</v>
      </c>
      <c r="S43" s="78">
        <f t="shared" si="4"/>
        <v>0</v>
      </c>
      <c r="T43" s="78">
        <f t="shared" si="5"/>
        <v>0</v>
      </c>
      <c r="U43" s="79"/>
      <c r="V43" s="78">
        <f t="shared" si="30"/>
        <v>0</v>
      </c>
      <c r="W43" s="80"/>
      <c r="X43" s="80">
        <f t="shared" si="6"/>
        <v>0</v>
      </c>
      <c r="Y43" s="79"/>
      <c r="Z43" s="78">
        <f t="shared" si="7"/>
        <v>0</v>
      </c>
      <c r="AA43" s="80"/>
      <c r="AB43" s="78">
        <f t="shared" si="8"/>
        <v>0</v>
      </c>
      <c r="AC43" s="79"/>
      <c r="AD43" s="78">
        <f t="shared" si="9"/>
        <v>0</v>
      </c>
      <c r="AE43" s="80"/>
      <c r="AF43" s="78">
        <f t="shared" si="10"/>
        <v>0</v>
      </c>
      <c r="AG43" s="79"/>
      <c r="AH43" s="78">
        <f t="shared" si="11"/>
        <v>0</v>
      </c>
      <c r="AI43" s="80"/>
      <c r="AJ43" s="78">
        <f t="shared" si="12"/>
        <v>0</v>
      </c>
      <c r="AK43" s="80"/>
      <c r="AL43" s="78">
        <f t="shared" si="13"/>
        <v>0</v>
      </c>
      <c r="AM43" s="80"/>
      <c r="AN43" s="78">
        <f t="shared" si="14"/>
        <v>0</v>
      </c>
      <c r="AO43" s="80"/>
      <c r="AP43" s="78">
        <f t="shared" si="15"/>
        <v>0</v>
      </c>
      <c r="AQ43" s="80"/>
      <c r="AR43" s="78">
        <f t="shared" si="16"/>
        <v>0</v>
      </c>
      <c r="AS43" s="80"/>
      <c r="AT43" s="78">
        <f t="shared" si="17"/>
        <v>0</v>
      </c>
      <c r="AU43" s="80"/>
      <c r="AV43" s="78">
        <f t="shared" si="18"/>
        <v>0</v>
      </c>
      <c r="AW43" s="80"/>
      <c r="AX43" s="78">
        <f t="shared" si="19"/>
        <v>0</v>
      </c>
      <c r="AY43" s="80"/>
      <c r="AZ43" s="78">
        <f t="shared" si="20"/>
        <v>0</v>
      </c>
      <c r="BA43" s="80"/>
      <c r="BB43" s="78">
        <f t="shared" si="21"/>
        <v>0</v>
      </c>
      <c r="BC43" s="80"/>
      <c r="BD43" s="78">
        <f t="shared" si="22"/>
        <v>0</v>
      </c>
      <c r="BE43" s="80"/>
      <c r="BF43" s="78">
        <f t="shared" si="23"/>
        <v>0</v>
      </c>
      <c r="BG43" s="80"/>
      <c r="BH43" s="78">
        <f t="shared" si="24"/>
        <v>0</v>
      </c>
      <c r="BI43" s="80"/>
      <c r="BJ43" s="78">
        <f t="shared" si="25"/>
        <v>0</v>
      </c>
      <c r="BK43" s="80"/>
      <c r="BL43" s="78">
        <f t="shared" si="26"/>
        <v>0</v>
      </c>
      <c r="BM43" s="80"/>
      <c r="BN43" s="78">
        <f t="shared" si="27"/>
        <v>0</v>
      </c>
      <c r="BO43" s="80"/>
      <c r="BP43" s="78">
        <f t="shared" si="28"/>
        <v>0</v>
      </c>
      <c r="BQ43" s="80"/>
      <c r="BR43" s="78">
        <f t="shared" si="31"/>
        <v>0</v>
      </c>
      <c r="BS43" s="73"/>
      <c r="BT43" s="81">
        <f t="shared" si="29"/>
        <v>0</v>
      </c>
      <c r="BU43" s="81"/>
      <c r="BV43" s="81"/>
      <c r="BW43" s="81"/>
      <c r="BX43" s="81">
        <f t="shared" si="0"/>
        <v>0</v>
      </c>
    </row>
    <row r="44" spans="1:76" s="82" customFormat="1" x14ac:dyDescent="0.3">
      <c r="A44" s="73">
        <v>63201</v>
      </c>
      <c r="B44" s="74" t="s">
        <v>113</v>
      </c>
      <c r="C44" s="74" t="s">
        <v>68</v>
      </c>
      <c r="D44" s="74" t="s">
        <v>112</v>
      </c>
      <c r="E44" s="74" t="str">
        <f>INDEX('[1]Branch code'!F:F,MATCH(D44,'[1]Branch code'!D:D,0))</f>
        <v xml:space="preserve"> Executive Optical, Inc.</v>
      </c>
      <c r="F44" s="75" t="str">
        <f>INDEX('[1]Region rate'!B:B,MATCH(D44,'[1]Region rate'!A:A,0))</f>
        <v>4A1</v>
      </c>
      <c r="G44" s="76">
        <f>INDEX('[1]Region rate'!C:C,MATCH(F44,'[1]Region rate'!B:B,0))</f>
        <v>684.51282051282044</v>
      </c>
      <c r="H44" s="77">
        <f t="shared" si="1"/>
        <v>85.564102564102555</v>
      </c>
      <c r="I44" s="78"/>
      <c r="J44" s="78"/>
      <c r="K44" s="79"/>
      <c r="L44" s="79">
        <f>INDEX([1]Allowance!B:B,MATCH(F44,[1]Allowance!A:A,0))</f>
        <v>85</v>
      </c>
      <c r="M44" s="79">
        <v>38.46</v>
      </c>
      <c r="N44" s="79"/>
      <c r="O44" s="79"/>
      <c r="P44" s="79">
        <v>112</v>
      </c>
      <c r="Q44" s="78">
        <f t="shared" si="2"/>
        <v>9583.1794871794864</v>
      </c>
      <c r="R44" s="78">
        <f t="shared" si="3"/>
        <v>1190</v>
      </c>
      <c r="S44" s="78">
        <f t="shared" si="4"/>
        <v>538.44000000000005</v>
      </c>
      <c r="T44" s="78">
        <f t="shared" si="5"/>
        <v>0</v>
      </c>
      <c r="U44" s="79"/>
      <c r="V44" s="78">
        <f t="shared" si="30"/>
        <v>0</v>
      </c>
      <c r="W44" s="80"/>
      <c r="X44" s="80">
        <f t="shared" si="6"/>
        <v>0</v>
      </c>
      <c r="Y44" s="79">
        <v>11</v>
      </c>
      <c r="Z44" s="78">
        <f t="shared" si="7"/>
        <v>1176.5064102564102</v>
      </c>
      <c r="AA44" s="80"/>
      <c r="AB44" s="78">
        <f t="shared" si="8"/>
        <v>0</v>
      </c>
      <c r="AC44" s="79"/>
      <c r="AD44" s="78">
        <f t="shared" si="9"/>
        <v>0</v>
      </c>
      <c r="AE44" s="80"/>
      <c r="AF44" s="78">
        <f t="shared" si="10"/>
        <v>0</v>
      </c>
      <c r="AG44" s="79"/>
      <c r="AH44" s="78">
        <f t="shared" si="11"/>
        <v>0</v>
      </c>
      <c r="AI44" s="80"/>
      <c r="AJ44" s="78">
        <f t="shared" si="12"/>
        <v>0</v>
      </c>
      <c r="AK44" s="80"/>
      <c r="AL44" s="78">
        <f t="shared" si="13"/>
        <v>0</v>
      </c>
      <c r="AM44" s="80"/>
      <c r="AN44" s="78">
        <f t="shared" si="14"/>
        <v>0</v>
      </c>
      <c r="AO44" s="80"/>
      <c r="AP44" s="78">
        <f t="shared" si="15"/>
        <v>0</v>
      </c>
      <c r="AQ44" s="80"/>
      <c r="AR44" s="78">
        <f t="shared" si="16"/>
        <v>0</v>
      </c>
      <c r="AS44" s="80"/>
      <c r="AT44" s="78">
        <f t="shared" si="17"/>
        <v>0</v>
      </c>
      <c r="AU44" s="80"/>
      <c r="AV44" s="78">
        <f t="shared" si="18"/>
        <v>0</v>
      </c>
      <c r="AW44" s="80"/>
      <c r="AX44" s="78">
        <f t="shared" si="19"/>
        <v>0</v>
      </c>
      <c r="AY44" s="80"/>
      <c r="AZ44" s="78">
        <f t="shared" si="20"/>
        <v>0</v>
      </c>
      <c r="BA44" s="80"/>
      <c r="BB44" s="78">
        <f t="shared" si="21"/>
        <v>0</v>
      </c>
      <c r="BC44" s="80"/>
      <c r="BD44" s="78">
        <f t="shared" si="22"/>
        <v>0</v>
      </c>
      <c r="BE44" s="80"/>
      <c r="BF44" s="78">
        <f t="shared" si="23"/>
        <v>0</v>
      </c>
      <c r="BG44" s="80"/>
      <c r="BH44" s="78">
        <f t="shared" si="24"/>
        <v>0</v>
      </c>
      <c r="BI44" s="80"/>
      <c r="BJ44" s="78">
        <f t="shared" si="25"/>
        <v>0</v>
      </c>
      <c r="BK44" s="80"/>
      <c r="BL44" s="78">
        <f t="shared" si="26"/>
        <v>0</v>
      </c>
      <c r="BM44" s="80"/>
      <c r="BN44" s="78">
        <f t="shared" si="27"/>
        <v>0</v>
      </c>
      <c r="BO44" s="80"/>
      <c r="BP44" s="78">
        <f t="shared" si="28"/>
        <v>0</v>
      </c>
      <c r="BQ44" s="80"/>
      <c r="BR44" s="78">
        <f t="shared" si="31"/>
        <v>0</v>
      </c>
      <c r="BS44" s="73"/>
      <c r="BT44" s="81">
        <f t="shared" si="29"/>
        <v>0</v>
      </c>
      <c r="BU44" s="81"/>
      <c r="BV44" s="81"/>
      <c r="BW44" s="81"/>
      <c r="BX44" s="81">
        <f t="shared" si="0"/>
        <v>10759.685897435897</v>
      </c>
    </row>
    <row r="45" spans="1:76" s="82" customFormat="1" x14ac:dyDescent="0.3">
      <c r="A45" s="73">
        <v>37562</v>
      </c>
      <c r="B45" s="74" t="s">
        <v>114</v>
      </c>
      <c r="C45" s="74" t="s">
        <v>39</v>
      </c>
      <c r="D45" s="74" t="s">
        <v>115</v>
      </c>
      <c r="E45" s="74" t="str">
        <f>INDEX('[1]Branch code'!F:F,MATCH(D45,'[1]Branch code'!D:D,0))</f>
        <v xml:space="preserve"> Executive Optical, Inc.</v>
      </c>
      <c r="F45" s="75">
        <f>INDEX('[1]Region rate'!B:B,MATCH(D45,'[1]Region rate'!A:A,0))</f>
        <v>1</v>
      </c>
      <c r="G45" s="76">
        <f>INDEX('[1]Region rate'!C:C,MATCH(F45,'[1]Region rate'!B:B,0))</f>
        <v>572.93076923076933</v>
      </c>
      <c r="H45" s="77">
        <f t="shared" si="1"/>
        <v>71.616346153846166</v>
      </c>
      <c r="I45" s="78"/>
      <c r="J45" s="78"/>
      <c r="K45" s="79">
        <v>112</v>
      </c>
      <c r="L45" s="79">
        <f>INDEX([1]Allowance!B:B,MATCH(F45,[1]Allowance!A:A,0))</f>
        <v>177</v>
      </c>
      <c r="M45" s="79"/>
      <c r="N45" s="79"/>
      <c r="O45" s="79"/>
      <c r="P45" s="79"/>
      <c r="Q45" s="78">
        <f t="shared" si="2"/>
        <v>0</v>
      </c>
      <c r="R45" s="78">
        <f t="shared" si="3"/>
        <v>0</v>
      </c>
      <c r="S45" s="78">
        <f t="shared" si="4"/>
        <v>0</v>
      </c>
      <c r="T45" s="78">
        <f t="shared" si="5"/>
        <v>0</v>
      </c>
      <c r="U45" s="79"/>
      <c r="V45" s="78">
        <f t="shared" si="30"/>
        <v>0</v>
      </c>
      <c r="W45" s="80"/>
      <c r="X45" s="80">
        <f t="shared" si="6"/>
        <v>0</v>
      </c>
      <c r="Y45" s="79"/>
      <c r="Z45" s="78">
        <f t="shared" si="7"/>
        <v>0</v>
      </c>
      <c r="AA45" s="80"/>
      <c r="AB45" s="78">
        <f t="shared" si="8"/>
        <v>0</v>
      </c>
      <c r="AC45" s="79"/>
      <c r="AD45" s="78">
        <f t="shared" si="9"/>
        <v>0</v>
      </c>
      <c r="AE45" s="80"/>
      <c r="AF45" s="78">
        <f t="shared" si="10"/>
        <v>0</v>
      </c>
      <c r="AG45" s="79"/>
      <c r="AH45" s="78">
        <f t="shared" si="11"/>
        <v>0</v>
      </c>
      <c r="AI45" s="80"/>
      <c r="AJ45" s="78">
        <f t="shared" si="12"/>
        <v>0</v>
      </c>
      <c r="AK45" s="80"/>
      <c r="AL45" s="78">
        <f t="shared" si="13"/>
        <v>0</v>
      </c>
      <c r="AM45" s="80"/>
      <c r="AN45" s="78">
        <f t="shared" si="14"/>
        <v>0</v>
      </c>
      <c r="AO45" s="80"/>
      <c r="AP45" s="78">
        <f t="shared" si="15"/>
        <v>0</v>
      </c>
      <c r="AQ45" s="80"/>
      <c r="AR45" s="78">
        <f t="shared" si="16"/>
        <v>0</v>
      </c>
      <c r="AS45" s="80"/>
      <c r="AT45" s="78">
        <f t="shared" si="17"/>
        <v>0</v>
      </c>
      <c r="AU45" s="80"/>
      <c r="AV45" s="78">
        <f t="shared" si="18"/>
        <v>0</v>
      </c>
      <c r="AW45" s="80"/>
      <c r="AX45" s="78">
        <f t="shared" si="19"/>
        <v>0</v>
      </c>
      <c r="AY45" s="80"/>
      <c r="AZ45" s="78">
        <f t="shared" si="20"/>
        <v>0</v>
      </c>
      <c r="BA45" s="80"/>
      <c r="BB45" s="78">
        <f t="shared" si="21"/>
        <v>0</v>
      </c>
      <c r="BC45" s="80"/>
      <c r="BD45" s="78">
        <f t="shared" si="22"/>
        <v>0</v>
      </c>
      <c r="BE45" s="80"/>
      <c r="BF45" s="78">
        <f t="shared" si="23"/>
        <v>0</v>
      </c>
      <c r="BG45" s="80"/>
      <c r="BH45" s="78">
        <f t="shared" si="24"/>
        <v>0</v>
      </c>
      <c r="BI45" s="80"/>
      <c r="BJ45" s="78">
        <f t="shared" si="25"/>
        <v>0</v>
      </c>
      <c r="BK45" s="80"/>
      <c r="BL45" s="78">
        <f t="shared" si="26"/>
        <v>0</v>
      </c>
      <c r="BM45" s="80"/>
      <c r="BN45" s="78">
        <f t="shared" si="27"/>
        <v>0</v>
      </c>
      <c r="BO45" s="80"/>
      <c r="BP45" s="78">
        <f t="shared" si="28"/>
        <v>0</v>
      </c>
      <c r="BQ45" s="80"/>
      <c r="BR45" s="78">
        <f t="shared" si="31"/>
        <v>0</v>
      </c>
      <c r="BS45" s="73"/>
      <c r="BT45" s="81">
        <f t="shared" si="29"/>
        <v>0</v>
      </c>
      <c r="BU45" s="81"/>
      <c r="BV45" s="81"/>
      <c r="BW45" s="81"/>
      <c r="BX45" s="81">
        <f t="shared" si="0"/>
        <v>0</v>
      </c>
    </row>
    <row r="46" spans="1:76" s="82" customFormat="1" x14ac:dyDescent="0.3">
      <c r="A46" s="73">
        <v>63273</v>
      </c>
      <c r="B46" s="74" t="s">
        <v>116</v>
      </c>
      <c r="C46" s="74" t="s">
        <v>68</v>
      </c>
      <c r="D46" s="74" t="s">
        <v>117</v>
      </c>
      <c r="E46" s="74" t="str">
        <f>INDEX('[1]Branch code'!F:F,MATCH(D46,'[1]Branch code'!D:D,0))</f>
        <v xml:space="preserve"> Executive Optical, Inc.</v>
      </c>
      <c r="F46" s="75" t="str">
        <f>INDEX('[1]Region rate'!B:B,MATCH(D46,'[1]Region rate'!A:A,0))</f>
        <v>4A2</v>
      </c>
      <c r="G46" s="76">
        <f>INDEX('[1]Region rate'!C:C,MATCH(F46,'[1]Region rate'!B:B,0))</f>
        <v>636.33333333333337</v>
      </c>
      <c r="H46" s="77">
        <f t="shared" si="1"/>
        <v>79.541666666666671</v>
      </c>
      <c r="I46" s="78">
        <v>0.67</v>
      </c>
      <c r="J46" s="78"/>
      <c r="K46" s="79">
        <v>8</v>
      </c>
      <c r="L46" s="79">
        <f>INDEX([1]Allowance!B:B,MATCH(F46,[1]Allowance!A:A,0))</f>
        <v>125</v>
      </c>
      <c r="M46" s="79"/>
      <c r="N46" s="79"/>
      <c r="O46" s="79"/>
      <c r="P46" s="79">
        <v>103.33</v>
      </c>
      <c r="Q46" s="78">
        <f t="shared" si="2"/>
        <v>8219.0404166666667</v>
      </c>
      <c r="R46" s="78">
        <f t="shared" si="3"/>
        <v>1614.53125</v>
      </c>
      <c r="S46" s="78">
        <f t="shared" si="4"/>
        <v>0</v>
      </c>
      <c r="T46" s="78">
        <f t="shared" si="5"/>
        <v>0</v>
      </c>
      <c r="U46" s="79"/>
      <c r="V46" s="78">
        <f t="shared" si="30"/>
        <v>0</v>
      </c>
      <c r="W46" s="80">
        <v>1.17</v>
      </c>
      <c r="X46" s="80">
        <f t="shared" si="6"/>
        <v>93.063749999999999</v>
      </c>
      <c r="Y46" s="79">
        <v>20.2667</v>
      </c>
      <c r="Z46" s="78">
        <f t="shared" si="7"/>
        <v>2015.0588697916669</v>
      </c>
      <c r="AA46" s="80"/>
      <c r="AB46" s="78">
        <f t="shared" si="8"/>
        <v>0</v>
      </c>
      <c r="AC46" s="79"/>
      <c r="AD46" s="78">
        <f t="shared" si="9"/>
        <v>0</v>
      </c>
      <c r="AE46" s="80"/>
      <c r="AF46" s="78">
        <f t="shared" si="10"/>
        <v>0</v>
      </c>
      <c r="AG46" s="79"/>
      <c r="AH46" s="78">
        <f t="shared" si="11"/>
        <v>0</v>
      </c>
      <c r="AI46" s="80"/>
      <c r="AJ46" s="78">
        <f t="shared" si="12"/>
        <v>0</v>
      </c>
      <c r="AK46" s="80"/>
      <c r="AL46" s="78">
        <f t="shared" si="13"/>
        <v>0</v>
      </c>
      <c r="AM46" s="80"/>
      <c r="AN46" s="78">
        <f t="shared" si="14"/>
        <v>0</v>
      </c>
      <c r="AO46" s="80"/>
      <c r="AP46" s="78">
        <f t="shared" si="15"/>
        <v>0</v>
      </c>
      <c r="AQ46" s="80"/>
      <c r="AR46" s="78">
        <f t="shared" si="16"/>
        <v>0</v>
      </c>
      <c r="AS46" s="80"/>
      <c r="AT46" s="78">
        <f t="shared" si="17"/>
        <v>0</v>
      </c>
      <c r="AU46" s="80"/>
      <c r="AV46" s="78">
        <f t="shared" si="18"/>
        <v>0</v>
      </c>
      <c r="AW46" s="80"/>
      <c r="AX46" s="78">
        <f t="shared" si="19"/>
        <v>0</v>
      </c>
      <c r="AY46" s="80"/>
      <c r="AZ46" s="78">
        <f t="shared" si="20"/>
        <v>0</v>
      </c>
      <c r="BA46" s="80"/>
      <c r="BB46" s="78">
        <f t="shared" si="21"/>
        <v>0</v>
      </c>
      <c r="BC46" s="80"/>
      <c r="BD46" s="78">
        <f t="shared" si="22"/>
        <v>0</v>
      </c>
      <c r="BE46" s="80"/>
      <c r="BF46" s="78">
        <f t="shared" si="23"/>
        <v>0</v>
      </c>
      <c r="BG46" s="80"/>
      <c r="BH46" s="78">
        <f t="shared" si="24"/>
        <v>0</v>
      </c>
      <c r="BI46" s="80"/>
      <c r="BJ46" s="78">
        <f t="shared" si="25"/>
        <v>0</v>
      </c>
      <c r="BK46" s="80"/>
      <c r="BL46" s="78">
        <f t="shared" si="26"/>
        <v>0</v>
      </c>
      <c r="BM46" s="80"/>
      <c r="BN46" s="78">
        <f t="shared" si="27"/>
        <v>0</v>
      </c>
      <c r="BO46" s="80"/>
      <c r="BP46" s="78">
        <f t="shared" si="28"/>
        <v>0</v>
      </c>
      <c r="BQ46" s="80"/>
      <c r="BR46" s="78">
        <f t="shared" si="31"/>
        <v>0</v>
      </c>
      <c r="BS46" s="73"/>
      <c r="BT46" s="81">
        <f t="shared" si="29"/>
        <v>0</v>
      </c>
      <c r="BU46" s="81"/>
      <c r="BV46" s="81"/>
      <c r="BW46" s="81"/>
      <c r="BX46" s="81">
        <f t="shared" si="0"/>
        <v>10141.035536458334</v>
      </c>
    </row>
    <row r="47" spans="1:76" s="82" customFormat="1" x14ac:dyDescent="0.3">
      <c r="A47" s="73">
        <v>63851</v>
      </c>
      <c r="B47" s="74" t="s">
        <v>118</v>
      </c>
      <c r="C47" s="74" t="s">
        <v>39</v>
      </c>
      <c r="D47" s="74" t="s">
        <v>119</v>
      </c>
      <c r="E47" s="74" t="str">
        <f>INDEX('[1]Branch code'!F:F,MATCH(D47,'[1]Branch code'!D:D,0))</f>
        <v xml:space="preserve"> Executive Optical, Inc.</v>
      </c>
      <c r="F47" s="75" t="str">
        <f>INDEX('[1]Region rate'!B:B,MATCH(D47,'[1]Region rate'!A:A,0))</f>
        <v>NCR</v>
      </c>
      <c r="G47" s="76">
        <f>INDEX('[1]Region rate'!C:C,MATCH(F47,'[1]Region rate'!B:B,0))</f>
        <v>789.10576923076928</v>
      </c>
      <c r="H47" s="77">
        <f t="shared" si="1"/>
        <v>98.63822115384616</v>
      </c>
      <c r="I47" s="78"/>
      <c r="J47" s="78"/>
      <c r="K47" s="79">
        <v>112</v>
      </c>
      <c r="L47" s="79">
        <f>INDEX([1]Allowance!B:B,MATCH(F47,[1]Allowance!A:A,0))</f>
        <v>50</v>
      </c>
      <c r="M47" s="79"/>
      <c r="N47" s="79"/>
      <c r="O47" s="79"/>
      <c r="P47" s="79"/>
      <c r="Q47" s="78">
        <f t="shared" si="2"/>
        <v>0</v>
      </c>
      <c r="R47" s="78">
        <f t="shared" si="3"/>
        <v>0</v>
      </c>
      <c r="S47" s="78">
        <f t="shared" si="4"/>
        <v>0</v>
      </c>
      <c r="T47" s="78">
        <f t="shared" si="5"/>
        <v>0</v>
      </c>
      <c r="U47" s="79"/>
      <c r="V47" s="78">
        <f t="shared" si="30"/>
        <v>0</v>
      </c>
      <c r="W47" s="80"/>
      <c r="X47" s="80">
        <f t="shared" si="6"/>
        <v>0</v>
      </c>
      <c r="Y47" s="79"/>
      <c r="Z47" s="78">
        <f t="shared" si="7"/>
        <v>0</v>
      </c>
      <c r="AA47" s="80"/>
      <c r="AB47" s="78">
        <f t="shared" si="8"/>
        <v>0</v>
      </c>
      <c r="AC47" s="79"/>
      <c r="AD47" s="78">
        <f t="shared" si="9"/>
        <v>0</v>
      </c>
      <c r="AE47" s="80"/>
      <c r="AF47" s="78">
        <f t="shared" si="10"/>
        <v>0</v>
      </c>
      <c r="AG47" s="79"/>
      <c r="AH47" s="78">
        <f t="shared" si="11"/>
        <v>0</v>
      </c>
      <c r="AI47" s="80"/>
      <c r="AJ47" s="78">
        <f t="shared" si="12"/>
        <v>0</v>
      </c>
      <c r="AK47" s="80"/>
      <c r="AL47" s="78">
        <f t="shared" si="13"/>
        <v>0</v>
      </c>
      <c r="AM47" s="80"/>
      <c r="AN47" s="78">
        <f t="shared" si="14"/>
        <v>0</v>
      </c>
      <c r="AO47" s="80"/>
      <c r="AP47" s="78">
        <f t="shared" si="15"/>
        <v>0</v>
      </c>
      <c r="AQ47" s="80"/>
      <c r="AR47" s="78">
        <f t="shared" si="16"/>
        <v>0</v>
      </c>
      <c r="AS47" s="80"/>
      <c r="AT47" s="78">
        <f t="shared" si="17"/>
        <v>0</v>
      </c>
      <c r="AU47" s="80"/>
      <c r="AV47" s="78">
        <f t="shared" si="18"/>
        <v>0</v>
      </c>
      <c r="AW47" s="80"/>
      <c r="AX47" s="78">
        <f t="shared" si="19"/>
        <v>0</v>
      </c>
      <c r="AY47" s="80"/>
      <c r="AZ47" s="78">
        <f t="shared" si="20"/>
        <v>0</v>
      </c>
      <c r="BA47" s="80"/>
      <c r="BB47" s="78">
        <f t="shared" si="21"/>
        <v>0</v>
      </c>
      <c r="BC47" s="80"/>
      <c r="BD47" s="78">
        <f t="shared" si="22"/>
        <v>0</v>
      </c>
      <c r="BE47" s="80"/>
      <c r="BF47" s="78">
        <f t="shared" si="23"/>
        <v>0</v>
      </c>
      <c r="BG47" s="80"/>
      <c r="BH47" s="78">
        <f t="shared" si="24"/>
        <v>0</v>
      </c>
      <c r="BI47" s="80"/>
      <c r="BJ47" s="78">
        <f t="shared" si="25"/>
        <v>0</v>
      </c>
      <c r="BK47" s="80"/>
      <c r="BL47" s="78">
        <f t="shared" si="26"/>
        <v>0</v>
      </c>
      <c r="BM47" s="80"/>
      <c r="BN47" s="78">
        <f t="shared" si="27"/>
        <v>0</v>
      </c>
      <c r="BO47" s="80"/>
      <c r="BP47" s="78">
        <f t="shared" si="28"/>
        <v>0</v>
      </c>
      <c r="BQ47" s="80"/>
      <c r="BR47" s="78">
        <f t="shared" si="31"/>
        <v>0</v>
      </c>
      <c r="BS47" s="73"/>
      <c r="BT47" s="81">
        <f t="shared" si="29"/>
        <v>0</v>
      </c>
      <c r="BU47" s="81"/>
      <c r="BV47" s="81"/>
      <c r="BW47" s="81"/>
      <c r="BX47" s="81">
        <f t="shared" si="0"/>
        <v>0</v>
      </c>
    </row>
    <row r="48" spans="1:76" s="82" customFormat="1" x14ac:dyDescent="0.3">
      <c r="A48" s="73">
        <v>63339</v>
      </c>
      <c r="B48" s="74" t="s">
        <v>120</v>
      </c>
      <c r="C48" s="74" t="s">
        <v>68</v>
      </c>
      <c r="D48" s="74" t="s">
        <v>119</v>
      </c>
      <c r="E48" s="74" t="str">
        <f>INDEX('[1]Branch code'!F:F,MATCH(D48,'[1]Branch code'!D:D,0))</f>
        <v xml:space="preserve"> Executive Optical, Inc.</v>
      </c>
      <c r="F48" s="75" t="str">
        <f>INDEX('[1]Region rate'!B:B,MATCH(D48,'[1]Region rate'!A:A,0))</f>
        <v>NCR</v>
      </c>
      <c r="G48" s="76">
        <f>INDEX('[1]Region rate'!C:C,MATCH(F48,'[1]Region rate'!B:B,0))</f>
        <v>789.10576923076928</v>
      </c>
      <c r="H48" s="77">
        <f t="shared" si="1"/>
        <v>98.63822115384616</v>
      </c>
      <c r="I48" s="78"/>
      <c r="J48" s="78"/>
      <c r="K48" s="79">
        <v>80</v>
      </c>
      <c r="L48" s="79">
        <f>INDEX([1]Allowance!B:B,MATCH(F48,[1]Allowance!A:A,0))</f>
        <v>50</v>
      </c>
      <c r="M48" s="79"/>
      <c r="N48" s="79"/>
      <c r="O48" s="79"/>
      <c r="P48" s="79">
        <v>32</v>
      </c>
      <c r="Q48" s="78">
        <f t="shared" si="2"/>
        <v>3156.4230769230771</v>
      </c>
      <c r="R48" s="78">
        <f t="shared" si="3"/>
        <v>200</v>
      </c>
      <c r="S48" s="78">
        <f t="shared" si="4"/>
        <v>0</v>
      </c>
      <c r="T48" s="78">
        <f t="shared" si="5"/>
        <v>0</v>
      </c>
      <c r="U48" s="79"/>
      <c r="V48" s="78">
        <f t="shared" si="30"/>
        <v>0</v>
      </c>
      <c r="W48" s="80"/>
      <c r="X48" s="80">
        <f t="shared" si="6"/>
        <v>0</v>
      </c>
      <c r="Y48" s="79"/>
      <c r="Z48" s="78">
        <f t="shared" si="7"/>
        <v>0</v>
      </c>
      <c r="AA48" s="80"/>
      <c r="AB48" s="78">
        <f t="shared" si="8"/>
        <v>0</v>
      </c>
      <c r="AC48" s="79"/>
      <c r="AD48" s="78">
        <f t="shared" si="9"/>
        <v>0</v>
      </c>
      <c r="AE48" s="80"/>
      <c r="AF48" s="78">
        <f t="shared" si="10"/>
        <v>0</v>
      </c>
      <c r="AG48" s="79"/>
      <c r="AH48" s="78">
        <f t="shared" si="11"/>
        <v>0</v>
      </c>
      <c r="AI48" s="80"/>
      <c r="AJ48" s="78">
        <f t="shared" si="12"/>
        <v>0</v>
      </c>
      <c r="AK48" s="80"/>
      <c r="AL48" s="78">
        <f t="shared" si="13"/>
        <v>0</v>
      </c>
      <c r="AM48" s="80"/>
      <c r="AN48" s="78">
        <f t="shared" si="14"/>
        <v>0</v>
      </c>
      <c r="AO48" s="80"/>
      <c r="AP48" s="78">
        <f t="shared" si="15"/>
        <v>0</v>
      </c>
      <c r="AQ48" s="80"/>
      <c r="AR48" s="78">
        <f t="shared" si="16"/>
        <v>0</v>
      </c>
      <c r="AS48" s="80"/>
      <c r="AT48" s="78">
        <f t="shared" si="17"/>
        <v>0</v>
      </c>
      <c r="AU48" s="80"/>
      <c r="AV48" s="78">
        <f t="shared" si="18"/>
        <v>0</v>
      </c>
      <c r="AW48" s="80"/>
      <c r="AX48" s="78">
        <f t="shared" si="19"/>
        <v>0</v>
      </c>
      <c r="AY48" s="80"/>
      <c r="AZ48" s="78">
        <f t="shared" si="20"/>
        <v>0</v>
      </c>
      <c r="BA48" s="80"/>
      <c r="BB48" s="78">
        <f t="shared" si="21"/>
        <v>0</v>
      </c>
      <c r="BC48" s="80"/>
      <c r="BD48" s="78">
        <f t="shared" si="22"/>
        <v>0</v>
      </c>
      <c r="BE48" s="80"/>
      <c r="BF48" s="78">
        <f t="shared" si="23"/>
        <v>0</v>
      </c>
      <c r="BG48" s="80"/>
      <c r="BH48" s="78">
        <f t="shared" si="24"/>
        <v>0</v>
      </c>
      <c r="BI48" s="80"/>
      <c r="BJ48" s="78">
        <f t="shared" si="25"/>
        <v>0</v>
      </c>
      <c r="BK48" s="80"/>
      <c r="BL48" s="78">
        <f t="shared" si="26"/>
        <v>0</v>
      </c>
      <c r="BM48" s="80"/>
      <c r="BN48" s="78">
        <f t="shared" si="27"/>
        <v>0</v>
      </c>
      <c r="BO48" s="80"/>
      <c r="BP48" s="78">
        <f t="shared" si="28"/>
        <v>0</v>
      </c>
      <c r="BQ48" s="80"/>
      <c r="BR48" s="78">
        <f t="shared" si="31"/>
        <v>0</v>
      </c>
      <c r="BS48" s="73"/>
      <c r="BT48" s="81">
        <f t="shared" si="29"/>
        <v>0</v>
      </c>
      <c r="BU48" s="81"/>
      <c r="BV48" s="81"/>
      <c r="BW48" s="81"/>
      <c r="BX48" s="81">
        <f t="shared" si="0"/>
        <v>3156.4230769230771</v>
      </c>
    </row>
    <row r="49" spans="1:76" s="82" customFormat="1" x14ac:dyDescent="0.3">
      <c r="A49" s="73">
        <v>64097</v>
      </c>
      <c r="B49" s="74" t="s">
        <v>121</v>
      </c>
      <c r="C49" s="74" t="s">
        <v>39</v>
      </c>
      <c r="D49" s="74" t="s">
        <v>119</v>
      </c>
      <c r="E49" s="74" t="str">
        <f>INDEX('[1]Branch code'!F:F,MATCH(D49,'[1]Branch code'!D:D,0))</f>
        <v xml:space="preserve"> Executive Optical, Inc.</v>
      </c>
      <c r="F49" s="75" t="str">
        <f>INDEX('[1]Region rate'!B:B,MATCH(D49,'[1]Region rate'!A:A,0))</f>
        <v>NCR</v>
      </c>
      <c r="G49" s="76">
        <f>INDEX('[1]Region rate'!C:C,MATCH(F49,'[1]Region rate'!B:B,0))</f>
        <v>789.10576923076928</v>
      </c>
      <c r="H49" s="77">
        <f t="shared" si="1"/>
        <v>98.63822115384616</v>
      </c>
      <c r="I49" s="78"/>
      <c r="J49" s="78"/>
      <c r="K49" s="79">
        <v>112</v>
      </c>
      <c r="L49" s="79">
        <f>INDEX([1]Allowance!B:B,MATCH(F49,[1]Allowance!A:A,0))</f>
        <v>50</v>
      </c>
      <c r="M49" s="79"/>
      <c r="N49" s="79"/>
      <c r="O49" s="79"/>
      <c r="P49" s="79"/>
      <c r="Q49" s="78">
        <f t="shared" si="2"/>
        <v>0</v>
      </c>
      <c r="R49" s="78">
        <f t="shared" si="3"/>
        <v>0</v>
      </c>
      <c r="S49" s="78">
        <f t="shared" si="4"/>
        <v>0</v>
      </c>
      <c r="T49" s="78">
        <f t="shared" si="5"/>
        <v>0</v>
      </c>
      <c r="U49" s="79"/>
      <c r="V49" s="78">
        <f t="shared" si="30"/>
        <v>0</v>
      </c>
      <c r="W49" s="80"/>
      <c r="X49" s="80">
        <f t="shared" si="6"/>
        <v>0</v>
      </c>
      <c r="Y49" s="79"/>
      <c r="Z49" s="78">
        <f t="shared" si="7"/>
        <v>0</v>
      </c>
      <c r="AA49" s="80"/>
      <c r="AB49" s="78">
        <f t="shared" si="8"/>
        <v>0</v>
      </c>
      <c r="AC49" s="79"/>
      <c r="AD49" s="78">
        <f t="shared" si="9"/>
        <v>0</v>
      </c>
      <c r="AE49" s="80"/>
      <c r="AF49" s="78">
        <f t="shared" si="10"/>
        <v>0</v>
      </c>
      <c r="AG49" s="79"/>
      <c r="AH49" s="78">
        <f t="shared" si="11"/>
        <v>0</v>
      </c>
      <c r="AI49" s="80"/>
      <c r="AJ49" s="78">
        <f t="shared" si="12"/>
        <v>0</v>
      </c>
      <c r="AK49" s="80"/>
      <c r="AL49" s="78">
        <f t="shared" si="13"/>
        <v>0</v>
      </c>
      <c r="AM49" s="80"/>
      <c r="AN49" s="78">
        <f t="shared" si="14"/>
        <v>0</v>
      </c>
      <c r="AO49" s="80"/>
      <c r="AP49" s="78">
        <f t="shared" si="15"/>
        <v>0</v>
      </c>
      <c r="AQ49" s="80"/>
      <c r="AR49" s="78">
        <f t="shared" si="16"/>
        <v>0</v>
      </c>
      <c r="AS49" s="80"/>
      <c r="AT49" s="78">
        <f t="shared" si="17"/>
        <v>0</v>
      </c>
      <c r="AU49" s="80"/>
      <c r="AV49" s="78">
        <f t="shared" si="18"/>
        <v>0</v>
      </c>
      <c r="AW49" s="80"/>
      <c r="AX49" s="78">
        <f t="shared" si="19"/>
        <v>0</v>
      </c>
      <c r="AY49" s="80"/>
      <c r="AZ49" s="78">
        <f t="shared" si="20"/>
        <v>0</v>
      </c>
      <c r="BA49" s="80"/>
      <c r="BB49" s="78">
        <f t="shared" si="21"/>
        <v>0</v>
      </c>
      <c r="BC49" s="80"/>
      <c r="BD49" s="78">
        <f t="shared" si="22"/>
        <v>0</v>
      </c>
      <c r="BE49" s="80"/>
      <c r="BF49" s="78">
        <f t="shared" si="23"/>
        <v>0</v>
      </c>
      <c r="BG49" s="80"/>
      <c r="BH49" s="78">
        <f t="shared" si="24"/>
        <v>0</v>
      </c>
      <c r="BI49" s="80"/>
      <c r="BJ49" s="78">
        <f t="shared" si="25"/>
        <v>0</v>
      </c>
      <c r="BK49" s="80"/>
      <c r="BL49" s="78">
        <f t="shared" si="26"/>
        <v>0</v>
      </c>
      <c r="BM49" s="80"/>
      <c r="BN49" s="78">
        <f t="shared" si="27"/>
        <v>0</v>
      </c>
      <c r="BO49" s="80"/>
      <c r="BP49" s="78">
        <f t="shared" si="28"/>
        <v>0</v>
      </c>
      <c r="BQ49" s="80"/>
      <c r="BR49" s="78">
        <f t="shared" si="31"/>
        <v>0</v>
      </c>
      <c r="BS49" s="73"/>
      <c r="BT49" s="81">
        <f t="shared" si="29"/>
        <v>0</v>
      </c>
      <c r="BU49" s="81"/>
      <c r="BV49" s="81"/>
      <c r="BW49" s="81"/>
      <c r="BX49" s="81">
        <f t="shared" si="0"/>
        <v>0</v>
      </c>
    </row>
    <row r="50" spans="1:76" s="82" customFormat="1" x14ac:dyDescent="0.3">
      <c r="A50" s="73">
        <v>63230</v>
      </c>
      <c r="B50" s="85" t="s">
        <v>122</v>
      </c>
      <c r="C50" s="74" t="s">
        <v>68</v>
      </c>
      <c r="D50" s="74" t="s">
        <v>123</v>
      </c>
      <c r="E50" s="74" t="str">
        <f>INDEX('[1]Branch code'!F:F,MATCH(D50,'[1]Branch code'!D:D,0))</f>
        <v xml:space="preserve"> Executive Optical, Inc.</v>
      </c>
      <c r="F50" s="75">
        <f>INDEX('[1]Region rate'!B:B,MATCH(D50,'[1]Region rate'!A:A,0))</f>
        <v>10</v>
      </c>
      <c r="G50" s="76">
        <f>INDEX('[1]Region rate'!C:C,MATCH(F50,'[1]Region rate'!B:B,0))</f>
        <v>565.17243589743589</v>
      </c>
      <c r="H50" s="77">
        <f t="shared" si="1"/>
        <v>70.646554487179486</v>
      </c>
      <c r="I50" s="78">
        <v>3.2</v>
      </c>
      <c r="J50" s="78"/>
      <c r="K50" s="79"/>
      <c r="L50" s="79">
        <f>INDEX([1]Allowance!B:B,MATCH(F50,[1]Allowance!A:A,0))</f>
        <v>184</v>
      </c>
      <c r="M50" s="79"/>
      <c r="N50" s="79"/>
      <c r="O50" s="79"/>
      <c r="P50" s="79">
        <v>108.8</v>
      </c>
      <c r="Q50" s="78">
        <f t="shared" si="2"/>
        <v>7686.3451282051283</v>
      </c>
      <c r="R50" s="78">
        <f t="shared" si="3"/>
        <v>2502.4</v>
      </c>
      <c r="S50" s="78">
        <f t="shared" si="4"/>
        <v>0</v>
      </c>
      <c r="T50" s="78">
        <f t="shared" si="5"/>
        <v>0</v>
      </c>
      <c r="U50" s="79"/>
      <c r="V50" s="78">
        <f t="shared" si="30"/>
        <v>0</v>
      </c>
      <c r="W50" s="86">
        <v>2.86</v>
      </c>
      <c r="X50" s="80">
        <f t="shared" si="6"/>
        <v>202.04914583333331</v>
      </c>
      <c r="Y50" s="79">
        <v>1.5</v>
      </c>
      <c r="Z50" s="78">
        <f t="shared" si="7"/>
        <v>132.46228966346155</v>
      </c>
      <c r="AA50" s="80"/>
      <c r="AB50" s="78">
        <f t="shared" si="8"/>
        <v>0</v>
      </c>
      <c r="AC50" s="79"/>
      <c r="AD50" s="78">
        <f t="shared" si="9"/>
        <v>0</v>
      </c>
      <c r="AE50" s="80"/>
      <c r="AF50" s="78">
        <f t="shared" si="10"/>
        <v>0</v>
      </c>
      <c r="AG50" s="79"/>
      <c r="AH50" s="78">
        <f t="shared" si="11"/>
        <v>0</v>
      </c>
      <c r="AI50" s="80"/>
      <c r="AJ50" s="78">
        <f t="shared" si="12"/>
        <v>0</v>
      </c>
      <c r="AK50" s="80"/>
      <c r="AL50" s="78">
        <f t="shared" si="13"/>
        <v>0</v>
      </c>
      <c r="AM50" s="80"/>
      <c r="AN50" s="78">
        <f t="shared" si="14"/>
        <v>0</v>
      </c>
      <c r="AO50" s="80"/>
      <c r="AP50" s="78">
        <f t="shared" si="15"/>
        <v>0</v>
      </c>
      <c r="AQ50" s="80"/>
      <c r="AR50" s="78">
        <f t="shared" si="16"/>
        <v>0</v>
      </c>
      <c r="AS50" s="80"/>
      <c r="AT50" s="78">
        <f t="shared" si="17"/>
        <v>0</v>
      </c>
      <c r="AU50" s="80"/>
      <c r="AV50" s="78">
        <f t="shared" si="18"/>
        <v>0</v>
      </c>
      <c r="AW50" s="80"/>
      <c r="AX50" s="78">
        <f t="shared" si="19"/>
        <v>0</v>
      </c>
      <c r="AY50" s="80"/>
      <c r="AZ50" s="78">
        <f t="shared" si="20"/>
        <v>0</v>
      </c>
      <c r="BA50" s="80"/>
      <c r="BB50" s="78">
        <f t="shared" si="21"/>
        <v>0</v>
      </c>
      <c r="BC50" s="80"/>
      <c r="BD50" s="78">
        <f t="shared" si="22"/>
        <v>0</v>
      </c>
      <c r="BE50" s="80"/>
      <c r="BF50" s="78">
        <f t="shared" si="23"/>
        <v>0</v>
      </c>
      <c r="BG50" s="80"/>
      <c r="BH50" s="78">
        <f t="shared" si="24"/>
        <v>0</v>
      </c>
      <c r="BI50" s="80"/>
      <c r="BJ50" s="78">
        <f t="shared" si="25"/>
        <v>0</v>
      </c>
      <c r="BK50" s="80"/>
      <c r="BL50" s="78">
        <f t="shared" si="26"/>
        <v>0</v>
      </c>
      <c r="BM50" s="80"/>
      <c r="BN50" s="78">
        <f t="shared" si="27"/>
        <v>0</v>
      </c>
      <c r="BO50" s="80"/>
      <c r="BP50" s="78">
        <f t="shared" si="28"/>
        <v>0</v>
      </c>
      <c r="BQ50" s="80"/>
      <c r="BR50" s="78">
        <f t="shared" si="31"/>
        <v>0</v>
      </c>
      <c r="BS50" s="73"/>
      <c r="BT50" s="81">
        <f t="shared" si="29"/>
        <v>0</v>
      </c>
      <c r="BU50" s="81"/>
      <c r="BV50" s="84">
        <f>H50*BF5*4</f>
        <v>367.36208333333332</v>
      </c>
      <c r="BW50" s="84">
        <f>(4/8)*L50</f>
        <v>92</v>
      </c>
      <c r="BX50" s="81">
        <f t="shared" si="0"/>
        <v>7616.7582720352566</v>
      </c>
    </row>
    <row r="51" spans="1:76" s="82" customFormat="1" x14ac:dyDescent="0.3">
      <c r="A51" s="73">
        <v>37576</v>
      </c>
      <c r="B51" s="83" t="s">
        <v>124</v>
      </c>
      <c r="C51" s="74" t="s">
        <v>68</v>
      </c>
      <c r="D51" s="74" t="s">
        <v>125</v>
      </c>
      <c r="E51" s="74" t="str">
        <f>INDEX('[1]Branch code'!F:F,MATCH(D51,'[1]Branch code'!D:D,0))</f>
        <v xml:space="preserve"> Executive Optical, Inc.</v>
      </c>
      <c r="F51" s="75" t="str">
        <f>INDEX('[1]Region rate'!B:B,MATCH(D51,'[1]Region rate'!A:A,0))</f>
        <v>7A</v>
      </c>
      <c r="G51" s="76">
        <f>INDEX('[1]Region rate'!C:C,MATCH(F51,'[1]Region rate'!B:B,0))</f>
        <v>613.35192307692307</v>
      </c>
      <c r="H51" s="77">
        <f t="shared" si="1"/>
        <v>76.668990384615384</v>
      </c>
      <c r="I51" s="78">
        <v>2.5499999999999998</v>
      </c>
      <c r="J51" s="78"/>
      <c r="K51" s="79"/>
      <c r="L51" s="79">
        <f>INDEX([1]Allowance!B:B,MATCH(F51,[1]Allowance!A:A,0))</f>
        <v>144</v>
      </c>
      <c r="M51" s="79"/>
      <c r="N51" s="79"/>
      <c r="O51" s="79"/>
      <c r="P51" s="79">
        <v>109.45</v>
      </c>
      <c r="Q51" s="78">
        <f t="shared" si="2"/>
        <v>8391.4209975961548</v>
      </c>
      <c r="R51" s="78">
        <f t="shared" si="3"/>
        <v>1970.1000000000001</v>
      </c>
      <c r="S51" s="78">
        <f t="shared" si="4"/>
        <v>0</v>
      </c>
      <c r="T51" s="78">
        <f t="shared" si="5"/>
        <v>0</v>
      </c>
      <c r="U51" s="79"/>
      <c r="V51" s="78">
        <f t="shared" si="30"/>
        <v>0</v>
      </c>
      <c r="W51" s="80"/>
      <c r="X51" s="80">
        <f t="shared" si="6"/>
        <v>0</v>
      </c>
      <c r="Y51" s="79">
        <v>18</v>
      </c>
      <c r="Z51" s="78">
        <f t="shared" si="7"/>
        <v>1725.0522836538462</v>
      </c>
      <c r="AA51" s="80"/>
      <c r="AB51" s="78">
        <f t="shared" si="8"/>
        <v>0</v>
      </c>
      <c r="AC51" s="79">
        <v>0.5</v>
      </c>
      <c r="AD51" s="78">
        <f t="shared" si="9"/>
        <v>3.8334495192307694</v>
      </c>
      <c r="AE51" s="80"/>
      <c r="AF51" s="78">
        <f t="shared" si="10"/>
        <v>0</v>
      </c>
      <c r="AG51" s="79"/>
      <c r="AH51" s="78">
        <f t="shared" si="11"/>
        <v>0</v>
      </c>
      <c r="AI51" s="80"/>
      <c r="AJ51" s="78">
        <f t="shared" si="12"/>
        <v>0</v>
      </c>
      <c r="AK51" s="80"/>
      <c r="AL51" s="78">
        <f t="shared" si="13"/>
        <v>0</v>
      </c>
      <c r="AM51" s="80"/>
      <c r="AN51" s="78">
        <f t="shared" si="14"/>
        <v>0</v>
      </c>
      <c r="AO51" s="80"/>
      <c r="AP51" s="78">
        <f t="shared" si="15"/>
        <v>0</v>
      </c>
      <c r="AQ51" s="80"/>
      <c r="AR51" s="78">
        <f t="shared" si="16"/>
        <v>0</v>
      </c>
      <c r="AS51" s="80"/>
      <c r="AT51" s="78">
        <f t="shared" si="17"/>
        <v>0</v>
      </c>
      <c r="AU51" s="80"/>
      <c r="AV51" s="78">
        <f t="shared" si="18"/>
        <v>0</v>
      </c>
      <c r="AW51" s="80"/>
      <c r="AX51" s="78">
        <f t="shared" si="19"/>
        <v>0</v>
      </c>
      <c r="AY51" s="80"/>
      <c r="AZ51" s="78">
        <f t="shared" si="20"/>
        <v>0</v>
      </c>
      <c r="BA51" s="80"/>
      <c r="BB51" s="78">
        <f t="shared" si="21"/>
        <v>0</v>
      </c>
      <c r="BC51" s="80"/>
      <c r="BD51" s="78">
        <f t="shared" si="22"/>
        <v>0</v>
      </c>
      <c r="BE51" s="80"/>
      <c r="BF51" s="78">
        <f t="shared" si="23"/>
        <v>0</v>
      </c>
      <c r="BG51" s="80"/>
      <c r="BH51" s="78">
        <f t="shared" si="24"/>
        <v>0</v>
      </c>
      <c r="BI51" s="80"/>
      <c r="BJ51" s="78">
        <f t="shared" si="25"/>
        <v>0</v>
      </c>
      <c r="BK51" s="80"/>
      <c r="BL51" s="78">
        <f t="shared" si="26"/>
        <v>0</v>
      </c>
      <c r="BM51" s="80"/>
      <c r="BN51" s="78">
        <f t="shared" si="27"/>
        <v>0</v>
      </c>
      <c r="BO51" s="80"/>
      <c r="BP51" s="78">
        <f t="shared" si="28"/>
        <v>0</v>
      </c>
      <c r="BQ51" s="80"/>
      <c r="BR51" s="78">
        <f t="shared" si="31"/>
        <v>0</v>
      </c>
      <c r="BS51" s="73"/>
      <c r="BT51" s="81">
        <f t="shared" si="29"/>
        <v>0</v>
      </c>
      <c r="BU51" s="81"/>
      <c r="BV51" s="84">
        <f>(H51*Z5)+(H51*BF5*6.1)</f>
        <v>703.82133173076932</v>
      </c>
      <c r="BW51" s="84">
        <f>(6.1/8)*L51</f>
        <v>109.8</v>
      </c>
      <c r="BX51" s="81">
        <f t="shared" si="0"/>
        <v>10120.306730769231</v>
      </c>
    </row>
    <row r="52" spans="1:76" s="82" customFormat="1" x14ac:dyDescent="0.3">
      <c r="A52" s="73">
        <v>38504</v>
      </c>
      <c r="B52" s="74" t="s">
        <v>126</v>
      </c>
      <c r="C52" s="74" t="s">
        <v>39</v>
      </c>
      <c r="D52" s="74" t="s">
        <v>125</v>
      </c>
      <c r="E52" s="74" t="str">
        <f>INDEX('[1]Branch code'!F:F,MATCH(D52,'[1]Branch code'!D:D,0))</f>
        <v xml:space="preserve"> Executive Optical, Inc.</v>
      </c>
      <c r="F52" s="75" t="str">
        <f>INDEX('[1]Region rate'!B:B,MATCH(D52,'[1]Region rate'!A:A,0))</f>
        <v>7A</v>
      </c>
      <c r="G52" s="76">
        <f>INDEX('[1]Region rate'!C:C,MATCH(F52,'[1]Region rate'!B:B,0))</f>
        <v>613.35192307692307</v>
      </c>
      <c r="H52" s="77">
        <f t="shared" si="1"/>
        <v>76.668990384615384</v>
      </c>
      <c r="I52" s="78"/>
      <c r="J52" s="78"/>
      <c r="K52" s="79"/>
      <c r="L52" s="79">
        <f>INDEX([1]Allowance!B:B,MATCH(F52,[1]Allowance!A:A,0))</f>
        <v>144</v>
      </c>
      <c r="M52" s="79"/>
      <c r="N52" s="79"/>
      <c r="O52" s="79"/>
      <c r="P52" s="79"/>
      <c r="Q52" s="78">
        <f t="shared" si="2"/>
        <v>0</v>
      </c>
      <c r="R52" s="78">
        <f t="shared" si="3"/>
        <v>0</v>
      </c>
      <c r="S52" s="78">
        <f t="shared" si="4"/>
        <v>0</v>
      </c>
      <c r="T52" s="78">
        <f t="shared" si="5"/>
        <v>0</v>
      </c>
      <c r="U52" s="79"/>
      <c r="V52" s="78">
        <f t="shared" si="30"/>
        <v>0</v>
      </c>
      <c r="W52" s="80"/>
      <c r="X52" s="80">
        <f t="shared" si="6"/>
        <v>0</v>
      </c>
      <c r="Y52" s="79"/>
      <c r="Z52" s="78">
        <f t="shared" si="7"/>
        <v>0</v>
      </c>
      <c r="AA52" s="80"/>
      <c r="AB52" s="78">
        <f t="shared" si="8"/>
        <v>0</v>
      </c>
      <c r="AC52" s="79"/>
      <c r="AD52" s="78">
        <f t="shared" si="9"/>
        <v>0</v>
      </c>
      <c r="AE52" s="80"/>
      <c r="AF52" s="78">
        <f t="shared" si="10"/>
        <v>0</v>
      </c>
      <c r="AG52" s="79"/>
      <c r="AH52" s="78">
        <f t="shared" si="11"/>
        <v>0</v>
      </c>
      <c r="AI52" s="80"/>
      <c r="AJ52" s="78">
        <f t="shared" si="12"/>
        <v>0</v>
      </c>
      <c r="AK52" s="80"/>
      <c r="AL52" s="78">
        <f t="shared" si="13"/>
        <v>0</v>
      </c>
      <c r="AM52" s="80"/>
      <c r="AN52" s="78">
        <f t="shared" si="14"/>
        <v>0</v>
      </c>
      <c r="AO52" s="80"/>
      <c r="AP52" s="78">
        <f t="shared" si="15"/>
        <v>0</v>
      </c>
      <c r="AQ52" s="80"/>
      <c r="AR52" s="78">
        <f t="shared" si="16"/>
        <v>0</v>
      </c>
      <c r="AS52" s="80"/>
      <c r="AT52" s="78">
        <f t="shared" si="17"/>
        <v>0</v>
      </c>
      <c r="AU52" s="80"/>
      <c r="AV52" s="78">
        <f t="shared" si="18"/>
        <v>0</v>
      </c>
      <c r="AW52" s="80"/>
      <c r="AX52" s="78">
        <f t="shared" si="19"/>
        <v>0</v>
      </c>
      <c r="AY52" s="80"/>
      <c r="AZ52" s="78">
        <f t="shared" si="20"/>
        <v>0</v>
      </c>
      <c r="BA52" s="80"/>
      <c r="BB52" s="78">
        <f t="shared" si="21"/>
        <v>0</v>
      </c>
      <c r="BC52" s="80"/>
      <c r="BD52" s="78">
        <f t="shared" si="22"/>
        <v>0</v>
      </c>
      <c r="BE52" s="80"/>
      <c r="BF52" s="78">
        <f t="shared" si="23"/>
        <v>0</v>
      </c>
      <c r="BG52" s="80"/>
      <c r="BH52" s="78">
        <f t="shared" si="24"/>
        <v>0</v>
      </c>
      <c r="BI52" s="80"/>
      <c r="BJ52" s="78">
        <f t="shared" si="25"/>
        <v>0</v>
      </c>
      <c r="BK52" s="80"/>
      <c r="BL52" s="78">
        <f t="shared" si="26"/>
        <v>0</v>
      </c>
      <c r="BM52" s="80"/>
      <c r="BN52" s="78">
        <f t="shared" si="27"/>
        <v>0</v>
      </c>
      <c r="BO52" s="80"/>
      <c r="BP52" s="78">
        <f t="shared" si="28"/>
        <v>0</v>
      </c>
      <c r="BQ52" s="80"/>
      <c r="BR52" s="78">
        <f t="shared" si="31"/>
        <v>0</v>
      </c>
      <c r="BS52" s="73"/>
      <c r="BT52" s="81">
        <f t="shared" si="29"/>
        <v>0</v>
      </c>
      <c r="BU52" s="81"/>
      <c r="BV52" s="81"/>
      <c r="BW52" s="81"/>
      <c r="BX52" s="81">
        <f t="shared" si="0"/>
        <v>0</v>
      </c>
    </row>
    <row r="53" spans="1:76" s="82" customFormat="1" x14ac:dyDescent="0.3">
      <c r="A53" s="73">
        <v>37534</v>
      </c>
      <c r="B53" s="83" t="s">
        <v>127</v>
      </c>
      <c r="C53" s="74" t="s">
        <v>92</v>
      </c>
      <c r="D53" s="74" t="s">
        <v>125</v>
      </c>
      <c r="E53" s="74" t="str">
        <f>INDEX('[1]Branch code'!F:F,MATCH(D53,'[1]Branch code'!D:D,0))</f>
        <v xml:space="preserve"> Executive Optical, Inc.</v>
      </c>
      <c r="F53" s="75" t="str">
        <f>INDEX('[1]Region rate'!B:B,MATCH(D53,'[1]Region rate'!A:A,0))</f>
        <v>7A</v>
      </c>
      <c r="G53" s="76">
        <f>INDEX('[1]Region rate'!C:C,MATCH(F53,'[1]Region rate'!B:B,0))</f>
        <v>613.35192307692307</v>
      </c>
      <c r="H53" s="77">
        <f t="shared" si="1"/>
        <v>76.668990384615384</v>
      </c>
      <c r="I53" s="78">
        <v>7.72</v>
      </c>
      <c r="J53" s="78"/>
      <c r="K53" s="79"/>
      <c r="L53" s="79">
        <f>INDEX([1]Allowance!B:B,MATCH(F53,[1]Allowance!A:A,0))</f>
        <v>144</v>
      </c>
      <c r="M53" s="79"/>
      <c r="N53" s="79">
        <v>38.46</v>
      </c>
      <c r="O53" s="79"/>
      <c r="P53" s="79">
        <v>104.28</v>
      </c>
      <c r="Q53" s="78">
        <f t="shared" si="2"/>
        <v>7995.0423173076924</v>
      </c>
      <c r="R53" s="78">
        <f t="shared" si="3"/>
        <v>1877.04</v>
      </c>
      <c r="S53" s="78">
        <f t="shared" si="4"/>
        <v>0</v>
      </c>
      <c r="T53" s="78">
        <f t="shared" si="5"/>
        <v>501.3261</v>
      </c>
      <c r="U53" s="79"/>
      <c r="V53" s="78">
        <f t="shared" si="30"/>
        <v>0</v>
      </c>
      <c r="W53" s="80"/>
      <c r="X53" s="80">
        <f t="shared" si="6"/>
        <v>0</v>
      </c>
      <c r="Y53" s="79">
        <v>14.683299999999999</v>
      </c>
      <c r="Z53" s="78">
        <f t="shared" si="7"/>
        <v>1407.1922331430287</v>
      </c>
      <c r="AA53" s="80"/>
      <c r="AB53" s="78">
        <f t="shared" si="8"/>
        <v>0</v>
      </c>
      <c r="AC53" s="79">
        <v>1</v>
      </c>
      <c r="AD53" s="78">
        <f t="shared" si="9"/>
        <v>7.6668990384615388</v>
      </c>
      <c r="AE53" s="80"/>
      <c r="AF53" s="78">
        <f t="shared" si="10"/>
        <v>0</v>
      </c>
      <c r="AG53" s="79"/>
      <c r="AH53" s="78">
        <f t="shared" si="11"/>
        <v>0</v>
      </c>
      <c r="AI53" s="80"/>
      <c r="AJ53" s="78">
        <f t="shared" si="12"/>
        <v>0</v>
      </c>
      <c r="AK53" s="80"/>
      <c r="AL53" s="78">
        <f t="shared" si="13"/>
        <v>0</v>
      </c>
      <c r="AM53" s="80"/>
      <c r="AN53" s="78">
        <f t="shared" si="14"/>
        <v>0</v>
      </c>
      <c r="AO53" s="80"/>
      <c r="AP53" s="78">
        <f t="shared" si="15"/>
        <v>0</v>
      </c>
      <c r="AQ53" s="80"/>
      <c r="AR53" s="78">
        <f t="shared" si="16"/>
        <v>0</v>
      </c>
      <c r="AS53" s="80"/>
      <c r="AT53" s="78">
        <f t="shared" si="17"/>
        <v>0</v>
      </c>
      <c r="AU53" s="80"/>
      <c r="AV53" s="78">
        <f t="shared" si="18"/>
        <v>0</v>
      </c>
      <c r="AW53" s="80"/>
      <c r="AX53" s="78">
        <f t="shared" si="19"/>
        <v>0</v>
      </c>
      <c r="AY53" s="80"/>
      <c r="AZ53" s="78">
        <f t="shared" si="20"/>
        <v>0</v>
      </c>
      <c r="BA53" s="80"/>
      <c r="BB53" s="78">
        <f t="shared" si="21"/>
        <v>0</v>
      </c>
      <c r="BC53" s="80"/>
      <c r="BD53" s="78">
        <f t="shared" si="22"/>
        <v>0</v>
      </c>
      <c r="BE53" s="80"/>
      <c r="BF53" s="78">
        <f t="shared" si="23"/>
        <v>0</v>
      </c>
      <c r="BG53" s="80"/>
      <c r="BH53" s="78">
        <f t="shared" si="24"/>
        <v>0</v>
      </c>
      <c r="BI53" s="80"/>
      <c r="BJ53" s="78">
        <f t="shared" si="25"/>
        <v>0</v>
      </c>
      <c r="BK53" s="80"/>
      <c r="BL53" s="78">
        <f t="shared" si="26"/>
        <v>0</v>
      </c>
      <c r="BM53" s="80"/>
      <c r="BN53" s="78">
        <f t="shared" si="27"/>
        <v>0</v>
      </c>
      <c r="BO53" s="80"/>
      <c r="BP53" s="78">
        <f t="shared" si="28"/>
        <v>0</v>
      </c>
      <c r="BQ53" s="80"/>
      <c r="BR53" s="78">
        <f t="shared" si="31"/>
        <v>0</v>
      </c>
      <c r="BS53" s="73"/>
      <c r="BT53" s="81">
        <f t="shared" si="29"/>
        <v>0</v>
      </c>
      <c r="BU53" s="81"/>
      <c r="BV53" s="84">
        <f>(H53*Z5*2.5)+(H53*BF5*8)+(H53*AD5*0.5)</f>
        <v>1040.7815444711539</v>
      </c>
      <c r="BW53" s="84">
        <f>L53</f>
        <v>144</v>
      </c>
      <c r="BX53" s="81">
        <f t="shared" si="0"/>
        <v>9409.9014494891835</v>
      </c>
    </row>
    <row r="54" spans="1:76" s="82" customFormat="1" x14ac:dyDescent="0.3">
      <c r="A54" s="73">
        <v>37491</v>
      </c>
      <c r="B54" s="74" t="s">
        <v>128</v>
      </c>
      <c r="C54" s="74" t="s">
        <v>68</v>
      </c>
      <c r="D54" s="74" t="s">
        <v>129</v>
      </c>
      <c r="E54" s="74" t="str">
        <f>INDEX('[1]Branch code'!F:F,MATCH(D54,'[1]Branch code'!D:D,0))</f>
        <v xml:space="preserve"> Purple Specs, Inc.</v>
      </c>
      <c r="F54" s="75">
        <f>INDEX('[1]Region rate'!B:B,MATCH(D54,'[1]Region rate'!A:A,0))</f>
        <v>1</v>
      </c>
      <c r="G54" s="76">
        <f>INDEX('[1]Region rate'!C:C,MATCH(F54,'[1]Region rate'!B:B,0))</f>
        <v>572.93076923076933</v>
      </c>
      <c r="H54" s="77">
        <f t="shared" si="1"/>
        <v>71.616346153846166</v>
      </c>
      <c r="I54" s="78"/>
      <c r="J54" s="78">
        <v>10.67</v>
      </c>
      <c r="K54" s="79"/>
      <c r="L54" s="79">
        <f>INDEX([1]Allowance!B:B,MATCH(F54,[1]Allowance!A:A,0))</f>
        <v>177</v>
      </c>
      <c r="M54" s="79">
        <v>38.46</v>
      </c>
      <c r="N54" s="79"/>
      <c r="O54" s="79"/>
      <c r="P54" s="79">
        <v>101.33</v>
      </c>
      <c r="Q54" s="78">
        <f t="shared" si="2"/>
        <v>7256.8843557692317</v>
      </c>
      <c r="R54" s="78">
        <f t="shared" si="3"/>
        <v>2241.92625</v>
      </c>
      <c r="S54" s="78">
        <f t="shared" si="4"/>
        <v>487.14397500000001</v>
      </c>
      <c r="T54" s="78">
        <f t="shared" si="5"/>
        <v>0</v>
      </c>
      <c r="U54" s="79"/>
      <c r="V54" s="78">
        <f t="shared" si="30"/>
        <v>0</v>
      </c>
      <c r="W54" s="80"/>
      <c r="X54" s="80">
        <f t="shared" si="6"/>
        <v>0</v>
      </c>
      <c r="Y54" s="79"/>
      <c r="Z54" s="78">
        <f t="shared" si="7"/>
        <v>0</v>
      </c>
      <c r="AA54" s="80"/>
      <c r="AB54" s="78">
        <f t="shared" si="8"/>
        <v>0</v>
      </c>
      <c r="AC54" s="79"/>
      <c r="AD54" s="78">
        <f t="shared" si="9"/>
        <v>0</v>
      </c>
      <c r="AE54" s="80"/>
      <c r="AF54" s="78">
        <f t="shared" si="10"/>
        <v>0</v>
      </c>
      <c r="AG54" s="79"/>
      <c r="AH54" s="78">
        <f t="shared" si="11"/>
        <v>0</v>
      </c>
      <c r="AI54" s="80"/>
      <c r="AJ54" s="78">
        <f t="shared" si="12"/>
        <v>0</v>
      </c>
      <c r="AK54" s="80"/>
      <c r="AL54" s="78">
        <f t="shared" si="13"/>
        <v>0</v>
      </c>
      <c r="AM54" s="80"/>
      <c r="AN54" s="78">
        <f t="shared" si="14"/>
        <v>0</v>
      </c>
      <c r="AO54" s="80"/>
      <c r="AP54" s="78">
        <f t="shared" si="15"/>
        <v>0</v>
      </c>
      <c r="AQ54" s="80"/>
      <c r="AR54" s="78">
        <f t="shared" si="16"/>
        <v>0</v>
      </c>
      <c r="AS54" s="80"/>
      <c r="AT54" s="78">
        <f t="shared" si="17"/>
        <v>0</v>
      </c>
      <c r="AU54" s="80"/>
      <c r="AV54" s="78">
        <f t="shared" si="18"/>
        <v>0</v>
      </c>
      <c r="AW54" s="80"/>
      <c r="AX54" s="78">
        <f t="shared" si="19"/>
        <v>0</v>
      </c>
      <c r="AY54" s="80"/>
      <c r="AZ54" s="78">
        <f t="shared" si="20"/>
        <v>0</v>
      </c>
      <c r="BA54" s="80"/>
      <c r="BB54" s="78">
        <f t="shared" si="21"/>
        <v>0</v>
      </c>
      <c r="BC54" s="80"/>
      <c r="BD54" s="78">
        <f t="shared" si="22"/>
        <v>0</v>
      </c>
      <c r="BE54" s="80"/>
      <c r="BF54" s="78">
        <f t="shared" si="23"/>
        <v>0</v>
      </c>
      <c r="BG54" s="80"/>
      <c r="BH54" s="78">
        <f t="shared" si="24"/>
        <v>0</v>
      </c>
      <c r="BI54" s="80"/>
      <c r="BJ54" s="78">
        <f t="shared" si="25"/>
        <v>0</v>
      </c>
      <c r="BK54" s="80"/>
      <c r="BL54" s="78">
        <f t="shared" si="26"/>
        <v>0</v>
      </c>
      <c r="BM54" s="80"/>
      <c r="BN54" s="78">
        <f t="shared" si="27"/>
        <v>0</v>
      </c>
      <c r="BO54" s="80"/>
      <c r="BP54" s="78">
        <f t="shared" si="28"/>
        <v>0</v>
      </c>
      <c r="BQ54" s="80"/>
      <c r="BR54" s="78">
        <f t="shared" si="31"/>
        <v>0</v>
      </c>
      <c r="BS54" s="73"/>
      <c r="BT54" s="81">
        <f t="shared" si="29"/>
        <v>0</v>
      </c>
      <c r="BU54" s="81"/>
      <c r="BV54" s="81"/>
      <c r="BW54" s="81"/>
      <c r="BX54" s="81">
        <f t="shared" si="0"/>
        <v>7256.8843557692317</v>
      </c>
    </row>
    <row r="55" spans="1:76" s="82" customFormat="1" x14ac:dyDescent="0.3">
      <c r="A55" s="73">
        <v>63249</v>
      </c>
      <c r="B55" s="74" t="s">
        <v>130</v>
      </c>
      <c r="C55" s="74" t="s">
        <v>68</v>
      </c>
      <c r="D55" s="74" t="s">
        <v>131</v>
      </c>
      <c r="E55" s="74" t="str">
        <f>INDEX('[1]Branch code'!F:F,MATCH(D55,'[1]Branch code'!D:D,0))</f>
        <v xml:space="preserve"> Indigo Visions, Inc.</v>
      </c>
      <c r="F55" s="75" t="str">
        <f>INDEX('[1]Region rate'!B:B,MATCH(D55,'[1]Region rate'!A:A,0))</f>
        <v>4A1</v>
      </c>
      <c r="G55" s="76">
        <f>INDEX('[1]Region rate'!C:C,MATCH(F55,'[1]Region rate'!B:B,0))</f>
        <v>684.51282051282044</v>
      </c>
      <c r="H55" s="77">
        <f t="shared" si="1"/>
        <v>85.564102564102555</v>
      </c>
      <c r="I55" s="78"/>
      <c r="J55" s="78"/>
      <c r="K55" s="79"/>
      <c r="L55" s="79">
        <f>INDEX([1]Allowance!B:B,MATCH(F55,[1]Allowance!A:A,0))</f>
        <v>85</v>
      </c>
      <c r="M55" s="79"/>
      <c r="N55" s="79"/>
      <c r="O55" s="79"/>
      <c r="P55" s="79">
        <v>112</v>
      </c>
      <c r="Q55" s="78">
        <f t="shared" si="2"/>
        <v>9583.1794871794864</v>
      </c>
      <c r="R55" s="78">
        <f t="shared" si="3"/>
        <v>1190</v>
      </c>
      <c r="S55" s="78">
        <f t="shared" si="4"/>
        <v>0</v>
      </c>
      <c r="T55" s="78">
        <f t="shared" si="5"/>
        <v>0</v>
      </c>
      <c r="U55" s="79"/>
      <c r="V55" s="78">
        <f t="shared" si="30"/>
        <v>0</v>
      </c>
      <c r="W55" s="80"/>
      <c r="X55" s="80">
        <f t="shared" si="6"/>
        <v>0</v>
      </c>
      <c r="Y55" s="79">
        <v>14</v>
      </c>
      <c r="Z55" s="78">
        <f t="shared" si="7"/>
        <v>1497.3717948717947</v>
      </c>
      <c r="AA55" s="80"/>
      <c r="AB55" s="78">
        <f t="shared" si="8"/>
        <v>0</v>
      </c>
      <c r="AC55" s="79"/>
      <c r="AD55" s="78">
        <f t="shared" si="9"/>
        <v>0</v>
      </c>
      <c r="AE55" s="80"/>
      <c r="AF55" s="78">
        <f t="shared" si="10"/>
        <v>0</v>
      </c>
      <c r="AG55" s="79"/>
      <c r="AH55" s="78">
        <f t="shared" si="11"/>
        <v>0</v>
      </c>
      <c r="AI55" s="80"/>
      <c r="AJ55" s="78">
        <f t="shared" si="12"/>
        <v>0</v>
      </c>
      <c r="AK55" s="80"/>
      <c r="AL55" s="78">
        <f t="shared" si="13"/>
        <v>0</v>
      </c>
      <c r="AM55" s="80"/>
      <c r="AN55" s="78">
        <f t="shared" si="14"/>
        <v>0</v>
      </c>
      <c r="AO55" s="80"/>
      <c r="AP55" s="78">
        <f t="shared" si="15"/>
        <v>0</v>
      </c>
      <c r="AQ55" s="80"/>
      <c r="AR55" s="78">
        <f t="shared" si="16"/>
        <v>0</v>
      </c>
      <c r="AS55" s="80"/>
      <c r="AT55" s="78">
        <f t="shared" si="17"/>
        <v>0</v>
      </c>
      <c r="AU55" s="80"/>
      <c r="AV55" s="78">
        <f t="shared" si="18"/>
        <v>0</v>
      </c>
      <c r="AW55" s="80"/>
      <c r="AX55" s="78">
        <f t="shared" si="19"/>
        <v>0</v>
      </c>
      <c r="AY55" s="80"/>
      <c r="AZ55" s="78">
        <f t="shared" si="20"/>
        <v>0</v>
      </c>
      <c r="BA55" s="80"/>
      <c r="BB55" s="78">
        <f t="shared" si="21"/>
        <v>0</v>
      </c>
      <c r="BC55" s="80"/>
      <c r="BD55" s="78">
        <f t="shared" si="22"/>
        <v>0</v>
      </c>
      <c r="BE55" s="80"/>
      <c r="BF55" s="78">
        <f>H55*$BF$5*BE55</f>
        <v>0</v>
      </c>
      <c r="BG55" s="80"/>
      <c r="BH55" s="78">
        <f t="shared" si="24"/>
        <v>0</v>
      </c>
      <c r="BI55" s="80"/>
      <c r="BJ55" s="78">
        <f t="shared" si="25"/>
        <v>0</v>
      </c>
      <c r="BK55" s="80"/>
      <c r="BL55" s="78">
        <f t="shared" si="26"/>
        <v>0</v>
      </c>
      <c r="BM55" s="80"/>
      <c r="BN55" s="78">
        <f t="shared" si="27"/>
        <v>0</v>
      </c>
      <c r="BO55" s="80"/>
      <c r="BP55" s="78">
        <f t="shared" si="28"/>
        <v>0</v>
      </c>
      <c r="BQ55" s="80"/>
      <c r="BR55" s="78">
        <f t="shared" si="31"/>
        <v>0</v>
      </c>
      <c r="BS55" s="73"/>
      <c r="BT55" s="81">
        <f t="shared" si="29"/>
        <v>0</v>
      </c>
      <c r="BU55" s="81"/>
      <c r="BV55" s="81"/>
      <c r="BW55" s="81"/>
      <c r="BX55" s="81">
        <f t="shared" si="0"/>
        <v>11080.551282051281</v>
      </c>
    </row>
    <row r="56" spans="1:76" s="82" customFormat="1" x14ac:dyDescent="0.3">
      <c r="A56" s="73">
        <v>63466</v>
      </c>
      <c r="B56" s="74" t="s">
        <v>132</v>
      </c>
      <c r="C56" s="74" t="s">
        <v>39</v>
      </c>
      <c r="D56" s="74" t="s">
        <v>133</v>
      </c>
      <c r="E56" s="74" t="str">
        <f>INDEX('[1]Branch code'!F:F,MATCH(D56,'[1]Branch code'!D:D,0))</f>
        <v xml:space="preserve"> Maple Hope, Inc.</v>
      </c>
      <c r="F56" s="75" t="str">
        <f>INDEX('[1]Region rate'!B:B,MATCH(D56,'[1]Region rate'!A:A,0))</f>
        <v>4A2</v>
      </c>
      <c r="G56" s="76">
        <f>INDEX('[1]Region rate'!C:C,MATCH(F56,'[1]Region rate'!B:B,0))</f>
        <v>636.33333333333337</v>
      </c>
      <c r="H56" s="77">
        <f t="shared" si="1"/>
        <v>79.541666666666671</v>
      </c>
      <c r="I56" s="78"/>
      <c r="J56" s="78"/>
      <c r="K56" s="79"/>
      <c r="L56" s="79">
        <f>INDEX([1]Allowance!B:B,MATCH(F56,[1]Allowance!A:A,0))</f>
        <v>125</v>
      </c>
      <c r="M56" s="79"/>
      <c r="N56" s="79"/>
      <c r="O56" s="79"/>
      <c r="P56" s="79">
        <v>112</v>
      </c>
      <c r="Q56" s="78">
        <f t="shared" si="2"/>
        <v>8908.6666666666679</v>
      </c>
      <c r="R56" s="78">
        <f t="shared" si="3"/>
        <v>1750</v>
      </c>
      <c r="S56" s="78">
        <f t="shared" si="4"/>
        <v>0</v>
      </c>
      <c r="T56" s="78">
        <f t="shared" si="5"/>
        <v>0</v>
      </c>
      <c r="U56" s="79"/>
      <c r="V56" s="78">
        <f t="shared" si="30"/>
        <v>0</v>
      </c>
      <c r="W56" s="80"/>
      <c r="X56" s="80">
        <f t="shared" si="6"/>
        <v>0</v>
      </c>
      <c r="Y56" s="79">
        <v>6.0833000000000004</v>
      </c>
      <c r="Z56" s="78">
        <f t="shared" si="7"/>
        <v>604.84477604166671</v>
      </c>
      <c r="AA56" s="80"/>
      <c r="AB56" s="78">
        <f t="shared" si="8"/>
        <v>0</v>
      </c>
      <c r="AC56" s="79"/>
      <c r="AD56" s="78">
        <f t="shared" si="9"/>
        <v>0</v>
      </c>
      <c r="AE56" s="80"/>
      <c r="AF56" s="78">
        <f t="shared" si="10"/>
        <v>0</v>
      </c>
      <c r="AG56" s="79"/>
      <c r="AH56" s="78">
        <f t="shared" si="11"/>
        <v>0</v>
      </c>
      <c r="AI56" s="80"/>
      <c r="AJ56" s="78">
        <f t="shared" si="12"/>
        <v>0</v>
      </c>
      <c r="AK56" s="80"/>
      <c r="AL56" s="78">
        <f t="shared" si="13"/>
        <v>0</v>
      </c>
      <c r="AM56" s="80"/>
      <c r="AN56" s="78">
        <f t="shared" si="14"/>
        <v>0</v>
      </c>
      <c r="AO56" s="80"/>
      <c r="AP56" s="78">
        <f t="shared" si="15"/>
        <v>0</v>
      </c>
      <c r="AQ56" s="80"/>
      <c r="AR56" s="78">
        <f t="shared" si="16"/>
        <v>0</v>
      </c>
      <c r="AS56" s="80"/>
      <c r="AT56" s="78">
        <f t="shared" si="17"/>
        <v>0</v>
      </c>
      <c r="AU56" s="80"/>
      <c r="AV56" s="78">
        <f t="shared" si="18"/>
        <v>0</v>
      </c>
      <c r="AW56" s="80"/>
      <c r="AX56" s="78">
        <f t="shared" si="19"/>
        <v>0</v>
      </c>
      <c r="AY56" s="80"/>
      <c r="AZ56" s="78">
        <f t="shared" si="20"/>
        <v>0</v>
      </c>
      <c r="BA56" s="80"/>
      <c r="BB56" s="78">
        <f t="shared" si="21"/>
        <v>0</v>
      </c>
      <c r="BC56" s="80"/>
      <c r="BD56" s="78">
        <f t="shared" si="22"/>
        <v>0</v>
      </c>
      <c r="BE56" s="80"/>
      <c r="BF56" s="78">
        <f t="shared" si="23"/>
        <v>0</v>
      </c>
      <c r="BG56" s="80"/>
      <c r="BH56" s="78">
        <f t="shared" si="24"/>
        <v>0</v>
      </c>
      <c r="BI56" s="80"/>
      <c r="BJ56" s="78">
        <f t="shared" si="25"/>
        <v>0</v>
      </c>
      <c r="BK56" s="80"/>
      <c r="BL56" s="78">
        <f t="shared" si="26"/>
        <v>0</v>
      </c>
      <c r="BM56" s="80"/>
      <c r="BN56" s="78">
        <f t="shared" si="27"/>
        <v>0</v>
      </c>
      <c r="BO56" s="80"/>
      <c r="BP56" s="78">
        <f t="shared" si="28"/>
        <v>0</v>
      </c>
      <c r="BQ56" s="80"/>
      <c r="BR56" s="78">
        <f t="shared" si="31"/>
        <v>0</v>
      </c>
      <c r="BS56" s="73"/>
      <c r="BT56" s="81">
        <f t="shared" si="29"/>
        <v>0</v>
      </c>
      <c r="BU56" s="81"/>
      <c r="BV56" s="81"/>
      <c r="BW56" s="81"/>
      <c r="BX56" s="81">
        <f t="shared" si="0"/>
        <v>9513.5114427083354</v>
      </c>
    </row>
    <row r="57" spans="1:76" s="82" customFormat="1" x14ac:dyDescent="0.3">
      <c r="A57" s="73">
        <v>63734</v>
      </c>
      <c r="B57" s="74" t="s">
        <v>134</v>
      </c>
      <c r="C57" s="74" t="s">
        <v>39</v>
      </c>
      <c r="D57" s="74" t="s">
        <v>133</v>
      </c>
      <c r="E57" s="74" t="str">
        <f>INDEX('[1]Branch code'!F:F,MATCH(D57,'[1]Branch code'!D:D,0))</f>
        <v xml:space="preserve"> Maple Hope, Inc.</v>
      </c>
      <c r="F57" s="75" t="str">
        <f>INDEX('[1]Region rate'!B:B,MATCH(D57,'[1]Region rate'!A:A,0))</f>
        <v>4A2</v>
      </c>
      <c r="G57" s="76">
        <f>INDEX('[1]Region rate'!C:C,MATCH(F57,'[1]Region rate'!B:B,0))</f>
        <v>636.33333333333337</v>
      </c>
      <c r="H57" s="77">
        <f t="shared" si="1"/>
        <v>79.541666666666671</v>
      </c>
      <c r="I57" s="78"/>
      <c r="J57" s="78"/>
      <c r="K57" s="79">
        <v>112</v>
      </c>
      <c r="L57" s="79">
        <f>INDEX([1]Allowance!B:B,MATCH(F57,[1]Allowance!A:A,0))</f>
        <v>125</v>
      </c>
      <c r="M57" s="79"/>
      <c r="N57" s="79"/>
      <c r="O57" s="79"/>
      <c r="P57" s="79"/>
      <c r="Q57" s="78">
        <f t="shared" si="2"/>
        <v>0</v>
      </c>
      <c r="R57" s="78">
        <f t="shared" si="3"/>
        <v>0</v>
      </c>
      <c r="S57" s="78">
        <f t="shared" si="4"/>
        <v>0</v>
      </c>
      <c r="T57" s="78">
        <f t="shared" si="5"/>
        <v>0</v>
      </c>
      <c r="U57" s="79"/>
      <c r="V57" s="78">
        <f t="shared" si="30"/>
        <v>0</v>
      </c>
      <c r="W57" s="80"/>
      <c r="X57" s="80">
        <f t="shared" si="6"/>
        <v>0</v>
      </c>
      <c r="Y57" s="79"/>
      <c r="Z57" s="78">
        <f t="shared" si="7"/>
        <v>0</v>
      </c>
      <c r="AA57" s="80"/>
      <c r="AB57" s="78">
        <f t="shared" si="8"/>
        <v>0</v>
      </c>
      <c r="AC57" s="79"/>
      <c r="AD57" s="78">
        <f t="shared" si="9"/>
        <v>0</v>
      </c>
      <c r="AE57" s="80"/>
      <c r="AF57" s="78">
        <f t="shared" si="10"/>
        <v>0</v>
      </c>
      <c r="AG57" s="79"/>
      <c r="AH57" s="78">
        <f t="shared" si="11"/>
        <v>0</v>
      </c>
      <c r="AI57" s="80"/>
      <c r="AJ57" s="78">
        <f t="shared" si="12"/>
        <v>0</v>
      </c>
      <c r="AK57" s="80"/>
      <c r="AL57" s="78">
        <f t="shared" si="13"/>
        <v>0</v>
      </c>
      <c r="AM57" s="80"/>
      <c r="AN57" s="78">
        <f t="shared" si="14"/>
        <v>0</v>
      </c>
      <c r="AO57" s="80"/>
      <c r="AP57" s="78">
        <f t="shared" si="15"/>
        <v>0</v>
      </c>
      <c r="AQ57" s="80"/>
      <c r="AR57" s="78">
        <f t="shared" si="16"/>
        <v>0</v>
      </c>
      <c r="AS57" s="80"/>
      <c r="AT57" s="78">
        <f t="shared" si="17"/>
        <v>0</v>
      </c>
      <c r="AU57" s="80"/>
      <c r="AV57" s="78">
        <f t="shared" si="18"/>
        <v>0</v>
      </c>
      <c r="AW57" s="80"/>
      <c r="AX57" s="78">
        <f t="shared" si="19"/>
        <v>0</v>
      </c>
      <c r="AY57" s="80"/>
      <c r="AZ57" s="78">
        <f t="shared" si="20"/>
        <v>0</v>
      </c>
      <c r="BA57" s="80"/>
      <c r="BB57" s="78">
        <f t="shared" si="21"/>
        <v>0</v>
      </c>
      <c r="BC57" s="80"/>
      <c r="BD57" s="78">
        <f t="shared" si="22"/>
        <v>0</v>
      </c>
      <c r="BE57" s="80"/>
      <c r="BF57" s="78">
        <f t="shared" si="23"/>
        <v>0</v>
      </c>
      <c r="BG57" s="80"/>
      <c r="BH57" s="78">
        <f t="shared" si="24"/>
        <v>0</v>
      </c>
      <c r="BI57" s="80"/>
      <c r="BJ57" s="78">
        <f t="shared" si="25"/>
        <v>0</v>
      </c>
      <c r="BK57" s="80"/>
      <c r="BL57" s="78">
        <f t="shared" si="26"/>
        <v>0</v>
      </c>
      <c r="BM57" s="80"/>
      <c r="BN57" s="78">
        <f t="shared" si="27"/>
        <v>0</v>
      </c>
      <c r="BO57" s="80"/>
      <c r="BP57" s="78">
        <f t="shared" si="28"/>
        <v>0</v>
      </c>
      <c r="BQ57" s="80"/>
      <c r="BR57" s="78">
        <f t="shared" si="31"/>
        <v>0</v>
      </c>
      <c r="BS57" s="73"/>
      <c r="BT57" s="81">
        <f t="shared" si="29"/>
        <v>0</v>
      </c>
      <c r="BU57" s="81"/>
      <c r="BV57" s="81"/>
      <c r="BW57" s="81"/>
      <c r="BX57" s="81">
        <f t="shared" si="0"/>
        <v>0</v>
      </c>
    </row>
    <row r="58" spans="1:76" s="82" customFormat="1" x14ac:dyDescent="0.3">
      <c r="A58" s="73">
        <v>64580</v>
      </c>
      <c r="B58" s="74" t="s">
        <v>135</v>
      </c>
      <c r="C58" s="74" t="s">
        <v>39</v>
      </c>
      <c r="D58" s="74" t="s">
        <v>133</v>
      </c>
      <c r="E58" s="74" t="str">
        <f>INDEX('[1]Branch code'!F:F,MATCH(D58,'[1]Branch code'!D:D,0))</f>
        <v xml:space="preserve"> Maple Hope, Inc.</v>
      </c>
      <c r="F58" s="75" t="str">
        <f>INDEX('[1]Region rate'!B:B,MATCH(D58,'[1]Region rate'!A:A,0))</f>
        <v>4A2</v>
      </c>
      <c r="G58" s="76">
        <f>INDEX('[1]Region rate'!C:C,MATCH(F58,'[1]Region rate'!B:B,0))</f>
        <v>636.33333333333337</v>
      </c>
      <c r="H58" s="77">
        <f t="shared" si="1"/>
        <v>79.541666666666671</v>
      </c>
      <c r="I58" s="78">
        <v>0.05</v>
      </c>
      <c r="J58" s="78"/>
      <c r="K58" s="79">
        <v>8</v>
      </c>
      <c r="L58" s="79">
        <f>INDEX([1]Allowance!B:B,MATCH(F58,[1]Allowance!A:A,0))</f>
        <v>125</v>
      </c>
      <c r="M58" s="79"/>
      <c r="N58" s="79"/>
      <c r="O58" s="79"/>
      <c r="P58" s="79">
        <v>103.95</v>
      </c>
      <c r="Q58" s="78">
        <f t="shared" si="2"/>
        <v>8268.3562500000007</v>
      </c>
      <c r="R58" s="78">
        <f t="shared" si="3"/>
        <v>1624.21875</v>
      </c>
      <c r="S58" s="78">
        <f t="shared" si="4"/>
        <v>0</v>
      </c>
      <c r="T58" s="78">
        <f t="shared" si="5"/>
        <v>0</v>
      </c>
      <c r="U58" s="79"/>
      <c r="V58" s="78">
        <f t="shared" si="30"/>
        <v>0</v>
      </c>
      <c r="W58" s="80"/>
      <c r="X58" s="80">
        <f t="shared" si="6"/>
        <v>0</v>
      </c>
      <c r="Y58" s="79"/>
      <c r="Z58" s="78">
        <f t="shared" si="7"/>
        <v>0</v>
      </c>
      <c r="AA58" s="80"/>
      <c r="AB58" s="78">
        <f t="shared" si="8"/>
        <v>0</v>
      </c>
      <c r="AC58" s="79"/>
      <c r="AD58" s="78">
        <f t="shared" si="9"/>
        <v>0</v>
      </c>
      <c r="AE58" s="80"/>
      <c r="AF58" s="78">
        <f t="shared" si="10"/>
        <v>0</v>
      </c>
      <c r="AG58" s="79"/>
      <c r="AH58" s="78">
        <f t="shared" si="11"/>
        <v>0</v>
      </c>
      <c r="AI58" s="80"/>
      <c r="AJ58" s="78">
        <f t="shared" si="12"/>
        <v>0</v>
      </c>
      <c r="AK58" s="80"/>
      <c r="AL58" s="78">
        <f t="shared" si="13"/>
        <v>0</v>
      </c>
      <c r="AM58" s="80"/>
      <c r="AN58" s="78">
        <f t="shared" si="14"/>
        <v>0</v>
      </c>
      <c r="AO58" s="80"/>
      <c r="AP58" s="78">
        <f t="shared" si="15"/>
        <v>0</v>
      </c>
      <c r="AQ58" s="80"/>
      <c r="AR58" s="78">
        <f t="shared" si="16"/>
        <v>0</v>
      </c>
      <c r="AS58" s="80"/>
      <c r="AT58" s="78">
        <f t="shared" si="17"/>
        <v>0</v>
      </c>
      <c r="AU58" s="80"/>
      <c r="AV58" s="78">
        <f t="shared" si="18"/>
        <v>0</v>
      </c>
      <c r="AW58" s="80"/>
      <c r="AX58" s="78">
        <f t="shared" si="19"/>
        <v>0</v>
      </c>
      <c r="AY58" s="80"/>
      <c r="AZ58" s="78">
        <f t="shared" si="20"/>
        <v>0</v>
      </c>
      <c r="BA58" s="80"/>
      <c r="BB58" s="78">
        <f t="shared" si="21"/>
        <v>0</v>
      </c>
      <c r="BC58" s="80"/>
      <c r="BD58" s="78">
        <f t="shared" si="22"/>
        <v>0</v>
      </c>
      <c r="BE58" s="80"/>
      <c r="BF58" s="78">
        <f t="shared" si="23"/>
        <v>0</v>
      </c>
      <c r="BG58" s="80"/>
      <c r="BH58" s="78">
        <f t="shared" si="24"/>
        <v>0</v>
      </c>
      <c r="BI58" s="80"/>
      <c r="BJ58" s="78">
        <f t="shared" si="25"/>
        <v>0</v>
      </c>
      <c r="BK58" s="80"/>
      <c r="BL58" s="78">
        <f t="shared" si="26"/>
        <v>0</v>
      </c>
      <c r="BM58" s="80"/>
      <c r="BN58" s="78">
        <f t="shared" si="27"/>
        <v>0</v>
      </c>
      <c r="BO58" s="80"/>
      <c r="BP58" s="78">
        <f t="shared" si="28"/>
        <v>0</v>
      </c>
      <c r="BQ58" s="80"/>
      <c r="BR58" s="78">
        <f t="shared" si="31"/>
        <v>0</v>
      </c>
      <c r="BS58" s="73"/>
      <c r="BT58" s="81">
        <f t="shared" si="29"/>
        <v>0</v>
      </c>
      <c r="BU58" s="81"/>
      <c r="BV58" s="81"/>
      <c r="BW58" s="81"/>
      <c r="BX58" s="81">
        <f t="shared" si="0"/>
        <v>8268.3562500000007</v>
      </c>
    </row>
    <row r="59" spans="1:76" s="82" customFormat="1" x14ac:dyDescent="0.3">
      <c r="A59" s="73">
        <v>63747</v>
      </c>
      <c r="B59" s="74" t="s">
        <v>136</v>
      </c>
      <c r="C59" s="74" t="s">
        <v>39</v>
      </c>
      <c r="D59" s="74" t="s">
        <v>133</v>
      </c>
      <c r="E59" s="74" t="str">
        <f>INDEX('[1]Branch code'!F:F,MATCH(D59,'[1]Branch code'!D:D,0))</f>
        <v xml:space="preserve"> Maple Hope, Inc.</v>
      </c>
      <c r="F59" s="75" t="str">
        <f>INDEX('[1]Region rate'!B:B,MATCH(D59,'[1]Region rate'!A:A,0))</f>
        <v>4A2</v>
      </c>
      <c r="G59" s="76">
        <f>INDEX('[1]Region rate'!C:C,MATCH(F59,'[1]Region rate'!B:B,0))</f>
        <v>636.33333333333337</v>
      </c>
      <c r="H59" s="77">
        <f t="shared" si="1"/>
        <v>79.541666666666671</v>
      </c>
      <c r="I59" s="78">
        <v>0.6</v>
      </c>
      <c r="J59" s="78">
        <v>8</v>
      </c>
      <c r="K59" s="79"/>
      <c r="L59" s="79">
        <f>INDEX([1]Allowance!B:B,MATCH(F59,[1]Allowance!A:A,0))</f>
        <v>125</v>
      </c>
      <c r="M59" s="79"/>
      <c r="N59" s="79"/>
      <c r="O59" s="79"/>
      <c r="P59" s="79">
        <v>103.4</v>
      </c>
      <c r="Q59" s="78">
        <f t="shared" si="2"/>
        <v>8224.6083333333336</v>
      </c>
      <c r="R59" s="78">
        <f t="shared" si="3"/>
        <v>1678.125</v>
      </c>
      <c r="S59" s="78">
        <f t="shared" si="4"/>
        <v>0</v>
      </c>
      <c r="T59" s="78">
        <f t="shared" si="5"/>
        <v>0</v>
      </c>
      <c r="U59" s="79"/>
      <c r="V59" s="78">
        <f t="shared" si="30"/>
        <v>0</v>
      </c>
      <c r="W59" s="80"/>
      <c r="X59" s="80">
        <f t="shared" si="6"/>
        <v>0</v>
      </c>
      <c r="Y59" s="79"/>
      <c r="Z59" s="78">
        <f t="shared" si="7"/>
        <v>0</v>
      </c>
      <c r="AA59" s="80"/>
      <c r="AB59" s="78">
        <f t="shared" si="8"/>
        <v>0</v>
      </c>
      <c r="AC59" s="79"/>
      <c r="AD59" s="78">
        <f t="shared" si="9"/>
        <v>0</v>
      </c>
      <c r="AE59" s="80"/>
      <c r="AF59" s="78">
        <f t="shared" si="10"/>
        <v>0</v>
      </c>
      <c r="AG59" s="79">
        <v>4</v>
      </c>
      <c r="AH59" s="78">
        <f t="shared" si="11"/>
        <v>413.61666666666673</v>
      </c>
      <c r="AI59" s="80"/>
      <c r="AJ59" s="78">
        <f t="shared" si="12"/>
        <v>0</v>
      </c>
      <c r="AK59" s="80"/>
      <c r="AL59" s="78">
        <f t="shared" si="13"/>
        <v>0</v>
      </c>
      <c r="AM59" s="80"/>
      <c r="AN59" s="78">
        <f t="shared" si="14"/>
        <v>0</v>
      </c>
      <c r="AO59" s="80"/>
      <c r="AP59" s="78">
        <f t="shared" si="15"/>
        <v>0</v>
      </c>
      <c r="AQ59" s="80"/>
      <c r="AR59" s="78">
        <f t="shared" si="16"/>
        <v>0</v>
      </c>
      <c r="AS59" s="80"/>
      <c r="AT59" s="78">
        <f t="shared" si="17"/>
        <v>0</v>
      </c>
      <c r="AU59" s="80"/>
      <c r="AV59" s="78">
        <f t="shared" si="18"/>
        <v>0</v>
      </c>
      <c r="AW59" s="80"/>
      <c r="AX59" s="78">
        <f t="shared" si="19"/>
        <v>0</v>
      </c>
      <c r="AY59" s="80"/>
      <c r="AZ59" s="78">
        <f t="shared" si="20"/>
        <v>0</v>
      </c>
      <c r="BA59" s="80"/>
      <c r="BB59" s="78">
        <f t="shared" si="21"/>
        <v>0</v>
      </c>
      <c r="BC59" s="80"/>
      <c r="BD59" s="78">
        <f t="shared" si="22"/>
        <v>0</v>
      </c>
      <c r="BE59" s="80"/>
      <c r="BF59" s="78">
        <f t="shared" si="23"/>
        <v>0</v>
      </c>
      <c r="BG59" s="80"/>
      <c r="BH59" s="78">
        <f t="shared" si="24"/>
        <v>0</v>
      </c>
      <c r="BI59" s="80"/>
      <c r="BJ59" s="78">
        <f t="shared" si="25"/>
        <v>0</v>
      </c>
      <c r="BK59" s="80"/>
      <c r="BL59" s="78">
        <f t="shared" si="26"/>
        <v>0</v>
      </c>
      <c r="BM59" s="80"/>
      <c r="BN59" s="78">
        <f t="shared" si="27"/>
        <v>0</v>
      </c>
      <c r="BO59" s="80"/>
      <c r="BP59" s="78">
        <f t="shared" si="28"/>
        <v>0</v>
      </c>
      <c r="BQ59" s="80"/>
      <c r="BR59" s="78">
        <f t="shared" si="31"/>
        <v>0</v>
      </c>
      <c r="BS59" s="73"/>
      <c r="BT59" s="81">
        <f t="shared" si="29"/>
        <v>0</v>
      </c>
      <c r="BU59" s="81"/>
      <c r="BV59" s="81"/>
      <c r="BW59" s="81"/>
      <c r="BX59" s="81">
        <f t="shared" si="0"/>
        <v>8638.2250000000004</v>
      </c>
    </row>
    <row r="60" spans="1:76" s="82" customFormat="1" x14ac:dyDescent="0.3">
      <c r="A60" s="73">
        <v>64581</v>
      </c>
      <c r="B60" s="74" t="s">
        <v>137</v>
      </c>
      <c r="C60" s="74" t="s">
        <v>39</v>
      </c>
      <c r="D60" s="74" t="s">
        <v>133</v>
      </c>
      <c r="E60" s="74" t="str">
        <f>INDEX('[1]Branch code'!F:F,MATCH(D60,'[1]Branch code'!D:D,0))</f>
        <v xml:space="preserve"> Maple Hope, Inc.</v>
      </c>
      <c r="F60" s="75" t="str">
        <f>INDEX('[1]Region rate'!B:B,MATCH(D60,'[1]Region rate'!A:A,0))</f>
        <v>4A2</v>
      </c>
      <c r="G60" s="76">
        <f>INDEX('[1]Region rate'!C:C,MATCH(F60,'[1]Region rate'!B:B,0))</f>
        <v>636.33333333333337</v>
      </c>
      <c r="H60" s="77">
        <f t="shared" si="1"/>
        <v>79.541666666666671</v>
      </c>
      <c r="I60" s="78"/>
      <c r="J60" s="78"/>
      <c r="K60" s="79">
        <v>8</v>
      </c>
      <c r="L60" s="79">
        <f>INDEX([1]Allowance!B:B,MATCH(F60,[1]Allowance!A:A,0))</f>
        <v>125</v>
      </c>
      <c r="M60" s="79"/>
      <c r="N60" s="79"/>
      <c r="O60" s="79"/>
      <c r="P60" s="79">
        <v>104</v>
      </c>
      <c r="Q60" s="78">
        <f t="shared" si="2"/>
        <v>8272.3333333333339</v>
      </c>
      <c r="R60" s="78">
        <f t="shared" si="3"/>
        <v>1625</v>
      </c>
      <c r="S60" s="78">
        <f t="shared" si="4"/>
        <v>0</v>
      </c>
      <c r="T60" s="78">
        <f t="shared" si="5"/>
        <v>0</v>
      </c>
      <c r="U60" s="79"/>
      <c r="V60" s="78">
        <f t="shared" si="30"/>
        <v>0</v>
      </c>
      <c r="W60" s="80"/>
      <c r="X60" s="80">
        <f t="shared" si="6"/>
        <v>0</v>
      </c>
      <c r="Y60" s="79">
        <v>2</v>
      </c>
      <c r="Z60" s="78">
        <f t="shared" si="7"/>
        <v>198.85416666666669</v>
      </c>
      <c r="AA60" s="80"/>
      <c r="AB60" s="78">
        <f t="shared" si="8"/>
        <v>0</v>
      </c>
      <c r="AC60" s="79"/>
      <c r="AD60" s="78">
        <f t="shared" si="9"/>
        <v>0</v>
      </c>
      <c r="AE60" s="80"/>
      <c r="AF60" s="78">
        <f t="shared" si="10"/>
        <v>0</v>
      </c>
      <c r="AG60" s="79"/>
      <c r="AH60" s="78">
        <f t="shared" si="11"/>
        <v>0</v>
      </c>
      <c r="AI60" s="80"/>
      <c r="AJ60" s="78">
        <f t="shared" si="12"/>
        <v>0</v>
      </c>
      <c r="AK60" s="80"/>
      <c r="AL60" s="78">
        <f t="shared" si="13"/>
        <v>0</v>
      </c>
      <c r="AM60" s="80"/>
      <c r="AN60" s="78">
        <f t="shared" si="14"/>
        <v>0</v>
      </c>
      <c r="AO60" s="80"/>
      <c r="AP60" s="78">
        <f t="shared" si="15"/>
        <v>0</v>
      </c>
      <c r="AQ60" s="80"/>
      <c r="AR60" s="78">
        <f t="shared" si="16"/>
        <v>0</v>
      </c>
      <c r="AS60" s="80"/>
      <c r="AT60" s="78">
        <f t="shared" si="17"/>
        <v>0</v>
      </c>
      <c r="AU60" s="80"/>
      <c r="AV60" s="78">
        <f t="shared" si="18"/>
        <v>0</v>
      </c>
      <c r="AW60" s="80"/>
      <c r="AX60" s="78">
        <f t="shared" si="19"/>
        <v>0</v>
      </c>
      <c r="AY60" s="80"/>
      <c r="AZ60" s="78">
        <f t="shared" si="20"/>
        <v>0</v>
      </c>
      <c r="BA60" s="80"/>
      <c r="BB60" s="78">
        <f t="shared" si="21"/>
        <v>0</v>
      </c>
      <c r="BC60" s="80"/>
      <c r="BD60" s="78">
        <f t="shared" si="22"/>
        <v>0</v>
      </c>
      <c r="BE60" s="80"/>
      <c r="BF60" s="78">
        <f t="shared" si="23"/>
        <v>0</v>
      </c>
      <c r="BG60" s="80"/>
      <c r="BH60" s="78">
        <f t="shared" si="24"/>
        <v>0</v>
      </c>
      <c r="BI60" s="80"/>
      <c r="BJ60" s="78">
        <f t="shared" si="25"/>
        <v>0</v>
      </c>
      <c r="BK60" s="80"/>
      <c r="BL60" s="78">
        <f t="shared" si="26"/>
        <v>0</v>
      </c>
      <c r="BM60" s="80"/>
      <c r="BN60" s="78">
        <f t="shared" si="27"/>
        <v>0</v>
      </c>
      <c r="BO60" s="80"/>
      <c r="BP60" s="78">
        <f t="shared" si="28"/>
        <v>0</v>
      </c>
      <c r="BQ60" s="80"/>
      <c r="BR60" s="78">
        <f t="shared" si="31"/>
        <v>0</v>
      </c>
      <c r="BS60" s="73"/>
      <c r="BT60" s="81">
        <f t="shared" si="29"/>
        <v>0</v>
      </c>
      <c r="BU60" s="81"/>
      <c r="BV60" s="81"/>
      <c r="BW60" s="81"/>
      <c r="BX60" s="81">
        <f t="shared" si="0"/>
        <v>8471.1875</v>
      </c>
    </row>
    <row r="61" spans="1:76" s="82" customFormat="1" x14ac:dyDescent="0.3">
      <c r="A61" s="73">
        <v>37641</v>
      </c>
      <c r="B61" s="74" t="s">
        <v>138</v>
      </c>
      <c r="C61" s="74" t="s">
        <v>39</v>
      </c>
      <c r="D61" s="74" t="s">
        <v>139</v>
      </c>
      <c r="E61" s="74" t="str">
        <f>INDEX('[1]Branch code'!F:F,MATCH(D61,'[1]Branch code'!D:D,0))</f>
        <v xml:space="preserve"> Indigo Visions, Inc.</v>
      </c>
      <c r="F61" s="75">
        <f>INDEX('[1]Region rate'!B:B,MATCH(D61,'[1]Region rate'!A:A,0))</f>
        <v>3</v>
      </c>
      <c r="G61" s="76">
        <f>INDEX('[1]Region rate'!C:C,MATCH(F61,'[1]Region rate'!B:B,0))</f>
        <v>641.875</v>
      </c>
      <c r="H61" s="77">
        <f t="shared" si="1"/>
        <v>80.234375</v>
      </c>
      <c r="I61" s="78">
        <v>2.5</v>
      </c>
      <c r="J61" s="78"/>
      <c r="K61" s="79"/>
      <c r="L61" s="79">
        <f>INDEX([1]Allowance!B:B,MATCH(F61,[1]Allowance!A:A,0))</f>
        <v>120</v>
      </c>
      <c r="M61" s="79"/>
      <c r="N61" s="79">
        <v>38.46</v>
      </c>
      <c r="O61" s="79">
        <v>6.73</v>
      </c>
      <c r="P61" s="79">
        <v>102.77</v>
      </c>
      <c r="Q61" s="78">
        <f t="shared" si="2"/>
        <v>8785.6640625</v>
      </c>
      <c r="R61" s="78">
        <f t="shared" si="3"/>
        <v>1642.5</v>
      </c>
      <c r="S61" s="78">
        <f t="shared" si="4"/>
        <v>0</v>
      </c>
      <c r="T61" s="78">
        <f t="shared" si="5"/>
        <v>526.42124999999999</v>
      </c>
      <c r="U61" s="79"/>
      <c r="V61" s="78">
        <f t="shared" si="30"/>
        <v>0</v>
      </c>
      <c r="W61" s="80"/>
      <c r="X61" s="80">
        <f t="shared" si="6"/>
        <v>0</v>
      </c>
      <c r="Y61" s="79"/>
      <c r="Z61" s="78">
        <f t="shared" si="7"/>
        <v>0</v>
      </c>
      <c r="AA61" s="80"/>
      <c r="AB61" s="78">
        <f t="shared" si="8"/>
        <v>0</v>
      </c>
      <c r="AC61" s="79"/>
      <c r="AD61" s="78">
        <f t="shared" si="9"/>
        <v>0</v>
      </c>
      <c r="AE61" s="80"/>
      <c r="AF61" s="78">
        <f t="shared" si="10"/>
        <v>0</v>
      </c>
      <c r="AG61" s="79"/>
      <c r="AH61" s="78">
        <f t="shared" si="11"/>
        <v>0</v>
      </c>
      <c r="AI61" s="80"/>
      <c r="AJ61" s="78">
        <f t="shared" si="12"/>
        <v>0</v>
      </c>
      <c r="AK61" s="80"/>
      <c r="AL61" s="78">
        <f t="shared" si="13"/>
        <v>0</v>
      </c>
      <c r="AM61" s="80"/>
      <c r="AN61" s="78">
        <f t="shared" si="14"/>
        <v>0</v>
      </c>
      <c r="AO61" s="80"/>
      <c r="AP61" s="78">
        <f t="shared" si="15"/>
        <v>0</v>
      </c>
      <c r="AQ61" s="80"/>
      <c r="AR61" s="78">
        <f t="shared" si="16"/>
        <v>0</v>
      </c>
      <c r="AS61" s="80"/>
      <c r="AT61" s="78">
        <f t="shared" si="17"/>
        <v>0</v>
      </c>
      <c r="AU61" s="80"/>
      <c r="AV61" s="78">
        <f t="shared" si="18"/>
        <v>0</v>
      </c>
      <c r="AW61" s="80"/>
      <c r="AX61" s="78">
        <f t="shared" si="19"/>
        <v>0</v>
      </c>
      <c r="AY61" s="80"/>
      <c r="AZ61" s="78">
        <f t="shared" si="20"/>
        <v>0</v>
      </c>
      <c r="BA61" s="80"/>
      <c r="BB61" s="78">
        <f t="shared" si="21"/>
        <v>0</v>
      </c>
      <c r="BC61" s="80"/>
      <c r="BD61" s="78">
        <f t="shared" si="22"/>
        <v>0</v>
      </c>
      <c r="BE61" s="80"/>
      <c r="BF61" s="78">
        <f t="shared" si="23"/>
        <v>0</v>
      </c>
      <c r="BG61" s="80"/>
      <c r="BH61" s="78">
        <f t="shared" si="24"/>
        <v>0</v>
      </c>
      <c r="BI61" s="80"/>
      <c r="BJ61" s="78">
        <f t="shared" si="25"/>
        <v>0</v>
      </c>
      <c r="BK61" s="80"/>
      <c r="BL61" s="78">
        <f t="shared" si="26"/>
        <v>0</v>
      </c>
      <c r="BM61" s="80"/>
      <c r="BN61" s="78">
        <f t="shared" si="27"/>
        <v>0</v>
      </c>
      <c r="BO61" s="80"/>
      <c r="BP61" s="78">
        <f t="shared" si="28"/>
        <v>0</v>
      </c>
      <c r="BQ61" s="80"/>
      <c r="BR61" s="78">
        <f t="shared" si="31"/>
        <v>0</v>
      </c>
      <c r="BS61" s="73"/>
      <c r="BT61" s="81">
        <f t="shared" si="29"/>
        <v>0</v>
      </c>
      <c r="BU61" s="81"/>
      <c r="BV61" s="81"/>
      <c r="BW61" s="81"/>
      <c r="BX61" s="81">
        <f t="shared" si="0"/>
        <v>8785.6640625</v>
      </c>
    </row>
    <row r="62" spans="1:76" s="82" customFormat="1" x14ac:dyDescent="0.3">
      <c r="A62" s="73">
        <v>64368</v>
      </c>
      <c r="B62" s="74" t="s">
        <v>140</v>
      </c>
      <c r="C62" s="74" t="s">
        <v>39</v>
      </c>
      <c r="D62" s="74" t="s">
        <v>141</v>
      </c>
      <c r="E62" s="74" t="str">
        <f>INDEX('[1]Branch code'!F:F,MATCH(D62,'[1]Branch code'!D:D,0))</f>
        <v xml:space="preserve"> Vision Lane Corp.</v>
      </c>
      <c r="F62" s="75" t="str">
        <f>INDEX('[1]Region rate'!B:B,MATCH(D62,'[1]Region rate'!A:A,0))</f>
        <v>4A1</v>
      </c>
      <c r="G62" s="76">
        <f>INDEX('[1]Region rate'!C:C,MATCH(F62,'[1]Region rate'!B:B,0))</f>
        <v>684.51282051282044</v>
      </c>
      <c r="H62" s="77">
        <f t="shared" si="1"/>
        <v>85.564102564102555</v>
      </c>
      <c r="I62" s="78"/>
      <c r="J62" s="78"/>
      <c r="K62" s="79"/>
      <c r="L62" s="79">
        <f>INDEX([1]Allowance!B:B,MATCH(F62,[1]Allowance!A:A,0))</f>
        <v>85</v>
      </c>
      <c r="M62" s="79"/>
      <c r="N62" s="79"/>
      <c r="O62" s="79">
        <v>1</v>
      </c>
      <c r="P62" s="79">
        <v>111</v>
      </c>
      <c r="Q62" s="78">
        <f t="shared" si="2"/>
        <v>9583.1794871794864</v>
      </c>
      <c r="R62" s="78">
        <f t="shared" si="3"/>
        <v>1190</v>
      </c>
      <c r="S62" s="78">
        <f t="shared" si="4"/>
        <v>0</v>
      </c>
      <c r="T62" s="78">
        <f t="shared" si="5"/>
        <v>0</v>
      </c>
      <c r="U62" s="79"/>
      <c r="V62" s="78">
        <f t="shared" si="30"/>
        <v>0</v>
      </c>
      <c r="W62" s="80"/>
      <c r="X62" s="80">
        <f t="shared" si="6"/>
        <v>0</v>
      </c>
      <c r="Y62" s="79">
        <v>8</v>
      </c>
      <c r="Z62" s="78">
        <f t="shared" si="7"/>
        <v>855.64102564102552</v>
      </c>
      <c r="AA62" s="80"/>
      <c r="AB62" s="78">
        <f t="shared" si="8"/>
        <v>0</v>
      </c>
      <c r="AC62" s="79"/>
      <c r="AD62" s="78">
        <f t="shared" si="9"/>
        <v>0</v>
      </c>
      <c r="AE62" s="80"/>
      <c r="AF62" s="78">
        <f t="shared" si="10"/>
        <v>0</v>
      </c>
      <c r="AG62" s="79"/>
      <c r="AH62" s="78">
        <f t="shared" si="11"/>
        <v>0</v>
      </c>
      <c r="AI62" s="80"/>
      <c r="AJ62" s="78">
        <f t="shared" si="12"/>
        <v>0</v>
      </c>
      <c r="AK62" s="80"/>
      <c r="AL62" s="78">
        <f t="shared" si="13"/>
        <v>0</v>
      </c>
      <c r="AM62" s="80"/>
      <c r="AN62" s="78">
        <f t="shared" si="14"/>
        <v>0</v>
      </c>
      <c r="AO62" s="80"/>
      <c r="AP62" s="78">
        <f t="shared" si="15"/>
        <v>0</v>
      </c>
      <c r="AQ62" s="80"/>
      <c r="AR62" s="78">
        <f t="shared" si="16"/>
        <v>0</v>
      </c>
      <c r="AS62" s="80"/>
      <c r="AT62" s="78">
        <f t="shared" si="17"/>
        <v>0</v>
      </c>
      <c r="AU62" s="80"/>
      <c r="AV62" s="78">
        <f t="shared" si="18"/>
        <v>0</v>
      </c>
      <c r="AW62" s="80"/>
      <c r="AX62" s="78">
        <f t="shared" si="19"/>
        <v>0</v>
      </c>
      <c r="AY62" s="80"/>
      <c r="AZ62" s="78">
        <f t="shared" si="20"/>
        <v>0</v>
      </c>
      <c r="BA62" s="80"/>
      <c r="BB62" s="78">
        <f t="shared" si="21"/>
        <v>0</v>
      </c>
      <c r="BC62" s="80"/>
      <c r="BD62" s="78">
        <f t="shared" si="22"/>
        <v>0</v>
      </c>
      <c r="BE62" s="80"/>
      <c r="BF62" s="78">
        <f t="shared" si="23"/>
        <v>0</v>
      </c>
      <c r="BG62" s="80"/>
      <c r="BH62" s="78">
        <f t="shared" si="24"/>
        <v>0</v>
      </c>
      <c r="BI62" s="80"/>
      <c r="BJ62" s="78">
        <f t="shared" si="25"/>
        <v>0</v>
      </c>
      <c r="BK62" s="80"/>
      <c r="BL62" s="78">
        <f t="shared" si="26"/>
        <v>0</v>
      </c>
      <c r="BM62" s="80"/>
      <c r="BN62" s="78">
        <f t="shared" si="27"/>
        <v>0</v>
      </c>
      <c r="BO62" s="80"/>
      <c r="BP62" s="78">
        <f t="shared" si="28"/>
        <v>0</v>
      </c>
      <c r="BQ62" s="80"/>
      <c r="BR62" s="78">
        <f t="shared" si="31"/>
        <v>0</v>
      </c>
      <c r="BS62" s="73"/>
      <c r="BT62" s="81">
        <f t="shared" si="29"/>
        <v>0</v>
      </c>
      <c r="BU62" s="81"/>
      <c r="BV62" s="81"/>
      <c r="BW62" s="81"/>
      <c r="BX62" s="81">
        <f t="shared" si="0"/>
        <v>10438.820512820512</v>
      </c>
    </row>
    <row r="63" spans="1:76" s="82" customFormat="1" x14ac:dyDescent="0.3">
      <c r="A63" s="73">
        <v>63989</v>
      </c>
      <c r="B63" s="74" t="s">
        <v>142</v>
      </c>
      <c r="C63" s="74" t="s">
        <v>39</v>
      </c>
      <c r="D63" s="74" t="s">
        <v>143</v>
      </c>
      <c r="E63" s="74" t="str">
        <f>INDEX('[1]Branch code'!F:F,MATCH(D63,'[1]Branch code'!D:D,0))</f>
        <v xml:space="preserve"> Occhialli, Inc.</v>
      </c>
      <c r="F63" s="75" t="str">
        <f>INDEX('[1]Region rate'!B:B,MATCH(D63,'[1]Region rate'!A:A,0))</f>
        <v>NCR</v>
      </c>
      <c r="G63" s="76">
        <f>INDEX('[1]Region rate'!C:C,MATCH(F63,'[1]Region rate'!B:B,0))</f>
        <v>789.10576923076928</v>
      </c>
      <c r="H63" s="77">
        <f t="shared" si="1"/>
        <v>98.63822115384616</v>
      </c>
      <c r="I63" s="78"/>
      <c r="J63" s="78">
        <v>2.87</v>
      </c>
      <c r="K63" s="79">
        <v>8</v>
      </c>
      <c r="L63" s="79">
        <f>INDEX([1]Allowance!B:B,MATCH(F63,[1]Allowance!A:A,0))</f>
        <v>50</v>
      </c>
      <c r="M63" s="79"/>
      <c r="N63" s="79"/>
      <c r="O63" s="79"/>
      <c r="P63" s="79">
        <v>101.13</v>
      </c>
      <c r="Q63" s="78">
        <f t="shared" si="2"/>
        <v>9975.2833052884616</v>
      </c>
      <c r="R63" s="78">
        <f t="shared" si="3"/>
        <v>632.0625</v>
      </c>
      <c r="S63" s="78">
        <f t="shared" si="4"/>
        <v>0</v>
      </c>
      <c r="T63" s="78">
        <f t="shared" si="5"/>
        <v>0</v>
      </c>
      <c r="U63" s="79"/>
      <c r="V63" s="78">
        <f t="shared" si="30"/>
        <v>0</v>
      </c>
      <c r="W63" s="80"/>
      <c r="X63" s="80">
        <f t="shared" si="6"/>
        <v>0</v>
      </c>
      <c r="Y63" s="79">
        <v>3.5</v>
      </c>
      <c r="Z63" s="78">
        <f t="shared" si="7"/>
        <v>431.54221754807696</v>
      </c>
      <c r="AA63" s="80"/>
      <c r="AB63" s="78">
        <f t="shared" si="8"/>
        <v>0</v>
      </c>
      <c r="AC63" s="79"/>
      <c r="AD63" s="78">
        <f t="shared" si="9"/>
        <v>0</v>
      </c>
      <c r="AE63" s="80"/>
      <c r="AF63" s="78">
        <f t="shared" si="10"/>
        <v>0</v>
      </c>
      <c r="AG63" s="79"/>
      <c r="AH63" s="78">
        <f t="shared" si="11"/>
        <v>0</v>
      </c>
      <c r="AI63" s="80"/>
      <c r="AJ63" s="78">
        <f t="shared" si="12"/>
        <v>0</v>
      </c>
      <c r="AK63" s="80"/>
      <c r="AL63" s="78">
        <f t="shared" si="13"/>
        <v>0</v>
      </c>
      <c r="AM63" s="80"/>
      <c r="AN63" s="78">
        <f t="shared" si="14"/>
        <v>0</v>
      </c>
      <c r="AO63" s="80"/>
      <c r="AP63" s="78">
        <f t="shared" si="15"/>
        <v>0</v>
      </c>
      <c r="AQ63" s="80"/>
      <c r="AR63" s="78">
        <f t="shared" si="16"/>
        <v>0</v>
      </c>
      <c r="AS63" s="80"/>
      <c r="AT63" s="78">
        <f t="shared" si="17"/>
        <v>0</v>
      </c>
      <c r="AU63" s="80"/>
      <c r="AV63" s="78">
        <f t="shared" si="18"/>
        <v>0</v>
      </c>
      <c r="AW63" s="80"/>
      <c r="AX63" s="78">
        <f t="shared" si="19"/>
        <v>0</v>
      </c>
      <c r="AY63" s="80"/>
      <c r="AZ63" s="78">
        <f t="shared" si="20"/>
        <v>0</v>
      </c>
      <c r="BA63" s="80"/>
      <c r="BB63" s="78">
        <f t="shared" si="21"/>
        <v>0</v>
      </c>
      <c r="BC63" s="80"/>
      <c r="BD63" s="78">
        <f t="shared" si="22"/>
        <v>0</v>
      </c>
      <c r="BE63" s="80"/>
      <c r="BF63" s="78">
        <f t="shared" si="23"/>
        <v>0</v>
      </c>
      <c r="BG63" s="80"/>
      <c r="BH63" s="78">
        <f t="shared" si="24"/>
        <v>0</v>
      </c>
      <c r="BI63" s="80"/>
      <c r="BJ63" s="78">
        <f t="shared" si="25"/>
        <v>0</v>
      </c>
      <c r="BK63" s="80"/>
      <c r="BL63" s="78">
        <f t="shared" si="26"/>
        <v>0</v>
      </c>
      <c r="BM63" s="80"/>
      <c r="BN63" s="78">
        <f t="shared" si="27"/>
        <v>0</v>
      </c>
      <c r="BO63" s="80"/>
      <c r="BP63" s="78">
        <f t="shared" si="28"/>
        <v>0</v>
      </c>
      <c r="BQ63" s="80"/>
      <c r="BR63" s="78">
        <f t="shared" si="31"/>
        <v>0</v>
      </c>
      <c r="BS63" s="73"/>
      <c r="BT63" s="81">
        <f t="shared" si="29"/>
        <v>0</v>
      </c>
      <c r="BU63" s="81"/>
      <c r="BV63" s="81"/>
      <c r="BW63" s="81"/>
      <c r="BX63" s="81">
        <f t="shared" si="0"/>
        <v>10406.825522836538</v>
      </c>
    </row>
    <row r="64" spans="1:76" s="82" customFormat="1" x14ac:dyDescent="0.3">
      <c r="A64" s="73">
        <v>63340</v>
      </c>
      <c r="B64" s="74" t="s">
        <v>144</v>
      </c>
      <c r="C64" s="74" t="s">
        <v>68</v>
      </c>
      <c r="D64" s="74" t="s">
        <v>145</v>
      </c>
      <c r="E64" s="74" t="str">
        <f>INDEX('[1]Branch code'!F:F,MATCH(D64,'[1]Branch code'!D:D,0))</f>
        <v xml:space="preserve"> Occhialli, Inc.</v>
      </c>
      <c r="F64" s="75" t="str">
        <f>INDEX('[1]Region rate'!B:B,MATCH(D64,'[1]Region rate'!A:A,0))</f>
        <v>NCR</v>
      </c>
      <c r="G64" s="76">
        <f>INDEX('[1]Region rate'!C:C,MATCH(F64,'[1]Region rate'!B:B,0))</f>
        <v>789.10576923076928</v>
      </c>
      <c r="H64" s="77">
        <f t="shared" si="1"/>
        <v>98.63822115384616</v>
      </c>
      <c r="I64" s="78">
        <v>0.65</v>
      </c>
      <c r="J64" s="78"/>
      <c r="K64" s="79">
        <v>16</v>
      </c>
      <c r="L64" s="79">
        <f>INDEX([1]Allowance!B:B,MATCH(F64,[1]Allowance!A:A,0))</f>
        <v>50</v>
      </c>
      <c r="M64" s="79"/>
      <c r="N64" s="79"/>
      <c r="O64" s="79"/>
      <c r="P64" s="79">
        <v>87.35</v>
      </c>
      <c r="Q64" s="78">
        <f t="shared" si="2"/>
        <v>8616.0486177884613</v>
      </c>
      <c r="R64" s="78">
        <f t="shared" si="3"/>
        <v>545.9375</v>
      </c>
      <c r="S64" s="78">
        <f t="shared" si="4"/>
        <v>0</v>
      </c>
      <c r="T64" s="78">
        <f t="shared" si="5"/>
        <v>0</v>
      </c>
      <c r="U64" s="79"/>
      <c r="V64" s="78">
        <f t="shared" si="30"/>
        <v>0</v>
      </c>
      <c r="W64" s="80"/>
      <c r="X64" s="80">
        <f t="shared" si="6"/>
        <v>0</v>
      </c>
      <c r="Y64" s="79">
        <v>5</v>
      </c>
      <c r="Z64" s="78">
        <f t="shared" si="7"/>
        <v>616.48888221153857</v>
      </c>
      <c r="AA64" s="80"/>
      <c r="AB64" s="78">
        <f t="shared" si="8"/>
        <v>0</v>
      </c>
      <c r="AC64" s="79"/>
      <c r="AD64" s="78">
        <f t="shared" si="9"/>
        <v>0</v>
      </c>
      <c r="AE64" s="80"/>
      <c r="AF64" s="78">
        <f t="shared" si="10"/>
        <v>0</v>
      </c>
      <c r="AG64" s="79"/>
      <c r="AH64" s="78">
        <f t="shared" si="11"/>
        <v>0</v>
      </c>
      <c r="AI64" s="80"/>
      <c r="AJ64" s="78">
        <f t="shared" si="12"/>
        <v>0</v>
      </c>
      <c r="AK64" s="80"/>
      <c r="AL64" s="78">
        <f t="shared" si="13"/>
        <v>0</v>
      </c>
      <c r="AM64" s="80"/>
      <c r="AN64" s="78">
        <f t="shared" si="14"/>
        <v>0</v>
      </c>
      <c r="AO64" s="80"/>
      <c r="AP64" s="78">
        <f t="shared" si="15"/>
        <v>0</v>
      </c>
      <c r="AQ64" s="80"/>
      <c r="AR64" s="78">
        <f t="shared" si="16"/>
        <v>0</v>
      </c>
      <c r="AS64" s="80"/>
      <c r="AT64" s="78">
        <f t="shared" si="17"/>
        <v>0</v>
      </c>
      <c r="AU64" s="80"/>
      <c r="AV64" s="78">
        <f t="shared" si="18"/>
        <v>0</v>
      </c>
      <c r="AW64" s="80"/>
      <c r="AX64" s="78">
        <f t="shared" si="19"/>
        <v>0</v>
      </c>
      <c r="AY64" s="80"/>
      <c r="AZ64" s="78">
        <f t="shared" si="20"/>
        <v>0</v>
      </c>
      <c r="BA64" s="80"/>
      <c r="BB64" s="78">
        <f t="shared" si="21"/>
        <v>0</v>
      </c>
      <c r="BC64" s="80"/>
      <c r="BD64" s="78">
        <f t="shared" si="22"/>
        <v>0</v>
      </c>
      <c r="BE64" s="80"/>
      <c r="BF64" s="78">
        <f t="shared" si="23"/>
        <v>0</v>
      </c>
      <c r="BG64" s="80"/>
      <c r="BH64" s="78">
        <f t="shared" si="24"/>
        <v>0</v>
      </c>
      <c r="BI64" s="80"/>
      <c r="BJ64" s="78">
        <f t="shared" si="25"/>
        <v>0</v>
      </c>
      <c r="BK64" s="80"/>
      <c r="BL64" s="78">
        <f t="shared" si="26"/>
        <v>0</v>
      </c>
      <c r="BM64" s="80"/>
      <c r="BN64" s="78">
        <f t="shared" si="27"/>
        <v>0</v>
      </c>
      <c r="BO64" s="80"/>
      <c r="BP64" s="78">
        <f t="shared" si="28"/>
        <v>0</v>
      </c>
      <c r="BQ64" s="80"/>
      <c r="BR64" s="78">
        <f t="shared" si="31"/>
        <v>0</v>
      </c>
      <c r="BS64" s="73"/>
      <c r="BT64" s="81">
        <f t="shared" si="29"/>
        <v>0</v>
      </c>
      <c r="BU64" s="81"/>
      <c r="BV64" s="81"/>
      <c r="BW64" s="81"/>
      <c r="BX64" s="81">
        <f t="shared" si="0"/>
        <v>9232.5375000000004</v>
      </c>
    </row>
    <row r="65" spans="1:76" s="82" customFormat="1" x14ac:dyDescent="0.3">
      <c r="A65" s="73">
        <v>63278</v>
      </c>
      <c r="B65" s="74" t="s">
        <v>146</v>
      </c>
      <c r="C65" s="74" t="s">
        <v>68</v>
      </c>
      <c r="D65" s="74" t="s">
        <v>147</v>
      </c>
      <c r="E65" s="74" t="str">
        <f>INDEX('[1]Branch code'!F:F,MATCH(D65,'[1]Branch code'!D:D,0))</f>
        <v xml:space="preserve"> Legato Visions, Inc.</v>
      </c>
      <c r="F65" s="75">
        <f>INDEX('[1]Region rate'!B:B,MATCH(D65,'[1]Region rate'!A:A,0))</f>
        <v>13</v>
      </c>
      <c r="G65" s="76">
        <f>INDEX('[1]Region rate'!C:C,MATCH(F65,'[1]Region rate'!B:B,0))</f>
        <v>510.34294871794867</v>
      </c>
      <c r="H65" s="77">
        <f t="shared" si="1"/>
        <v>63.792868589743584</v>
      </c>
      <c r="I65" s="78"/>
      <c r="J65" s="78"/>
      <c r="K65" s="79">
        <v>24</v>
      </c>
      <c r="L65" s="79">
        <f>INDEX([1]Allowance!B:B,MATCH(F65,[1]Allowance!A:A,0))</f>
        <v>230</v>
      </c>
      <c r="M65" s="79"/>
      <c r="N65" s="79"/>
      <c r="O65" s="79">
        <v>0.45</v>
      </c>
      <c r="P65" s="79">
        <v>87.55</v>
      </c>
      <c r="Q65" s="78">
        <f t="shared" si="2"/>
        <v>5613.7724358974356</v>
      </c>
      <c r="R65" s="78">
        <f t="shared" si="3"/>
        <v>2530</v>
      </c>
      <c r="S65" s="78">
        <f t="shared" si="4"/>
        <v>0</v>
      </c>
      <c r="T65" s="78">
        <f t="shared" si="5"/>
        <v>0</v>
      </c>
      <c r="U65" s="79"/>
      <c r="V65" s="78">
        <f t="shared" si="30"/>
        <v>0</v>
      </c>
      <c r="W65" s="80"/>
      <c r="X65" s="80">
        <f t="shared" si="6"/>
        <v>0</v>
      </c>
      <c r="Y65" s="79">
        <v>10.5</v>
      </c>
      <c r="Z65" s="78">
        <f t="shared" si="7"/>
        <v>837.28140024038453</v>
      </c>
      <c r="AA65" s="80"/>
      <c r="AB65" s="78">
        <f t="shared" si="8"/>
        <v>0</v>
      </c>
      <c r="AC65" s="79"/>
      <c r="AD65" s="78">
        <f t="shared" si="9"/>
        <v>0</v>
      </c>
      <c r="AE65" s="80"/>
      <c r="AF65" s="78">
        <f t="shared" si="10"/>
        <v>0</v>
      </c>
      <c r="AG65" s="79"/>
      <c r="AH65" s="78">
        <f t="shared" si="11"/>
        <v>0</v>
      </c>
      <c r="AI65" s="80"/>
      <c r="AJ65" s="78">
        <f t="shared" si="12"/>
        <v>0</v>
      </c>
      <c r="AK65" s="80"/>
      <c r="AL65" s="78">
        <f t="shared" si="13"/>
        <v>0</v>
      </c>
      <c r="AM65" s="80"/>
      <c r="AN65" s="78">
        <f t="shared" si="14"/>
        <v>0</v>
      </c>
      <c r="AO65" s="80"/>
      <c r="AP65" s="78">
        <f t="shared" si="15"/>
        <v>0</v>
      </c>
      <c r="AQ65" s="80"/>
      <c r="AR65" s="78">
        <f t="shared" si="16"/>
        <v>0</v>
      </c>
      <c r="AS65" s="80"/>
      <c r="AT65" s="78">
        <f t="shared" si="17"/>
        <v>0</v>
      </c>
      <c r="AU65" s="80"/>
      <c r="AV65" s="78">
        <f t="shared" si="18"/>
        <v>0</v>
      </c>
      <c r="AW65" s="80"/>
      <c r="AX65" s="78">
        <f t="shared" si="19"/>
        <v>0</v>
      </c>
      <c r="AY65" s="80"/>
      <c r="AZ65" s="78">
        <f t="shared" si="20"/>
        <v>0</v>
      </c>
      <c r="BA65" s="80"/>
      <c r="BB65" s="78">
        <f t="shared" si="21"/>
        <v>0</v>
      </c>
      <c r="BC65" s="80"/>
      <c r="BD65" s="78">
        <f t="shared" si="22"/>
        <v>0</v>
      </c>
      <c r="BE65" s="80"/>
      <c r="BF65" s="78">
        <f t="shared" si="23"/>
        <v>0</v>
      </c>
      <c r="BG65" s="80"/>
      <c r="BH65" s="78">
        <f t="shared" si="24"/>
        <v>0</v>
      </c>
      <c r="BI65" s="80"/>
      <c r="BJ65" s="78">
        <f t="shared" si="25"/>
        <v>0</v>
      </c>
      <c r="BK65" s="80"/>
      <c r="BL65" s="78">
        <f t="shared" si="26"/>
        <v>0</v>
      </c>
      <c r="BM65" s="80"/>
      <c r="BN65" s="78">
        <f t="shared" si="27"/>
        <v>0</v>
      </c>
      <c r="BO65" s="80"/>
      <c r="BP65" s="78">
        <f t="shared" si="28"/>
        <v>0</v>
      </c>
      <c r="BQ65" s="80"/>
      <c r="BR65" s="78">
        <f t="shared" si="31"/>
        <v>0</v>
      </c>
      <c r="BS65" s="73"/>
      <c r="BT65" s="81">
        <f t="shared" si="29"/>
        <v>0</v>
      </c>
      <c r="BU65" s="81"/>
      <c r="BV65" s="81"/>
      <c r="BW65" s="81"/>
      <c r="BX65" s="81">
        <f t="shared" si="0"/>
        <v>6451.0538361378203</v>
      </c>
    </row>
    <row r="66" spans="1:76" s="82" customFormat="1" x14ac:dyDescent="0.3">
      <c r="A66" s="73">
        <v>63651</v>
      </c>
      <c r="B66" s="74" t="s">
        <v>148</v>
      </c>
      <c r="C66" s="74" t="s">
        <v>39</v>
      </c>
      <c r="D66" s="74" t="s">
        <v>149</v>
      </c>
      <c r="E66" s="74" t="str">
        <f>INDEX('[1]Branch code'!F:F,MATCH(D66,'[1]Branch code'!D:D,0))</f>
        <v xml:space="preserve"> Sight Testers, Inc.</v>
      </c>
      <c r="F66" s="75">
        <f>INDEX('[1]Region rate'!B:B,MATCH(D66,'[1]Region rate'!A:A,0))</f>
        <v>5</v>
      </c>
      <c r="G66" s="76">
        <f>INDEX('[1]Region rate'!C:C,MATCH(F66,'[1]Region rate'!B:B,0))</f>
        <v>525.85961538461538</v>
      </c>
      <c r="H66" s="77">
        <f t="shared" si="1"/>
        <v>65.732451923076923</v>
      </c>
      <c r="I66" s="78"/>
      <c r="J66" s="78"/>
      <c r="K66" s="79"/>
      <c r="L66" s="79">
        <f>INDEX([1]Allowance!B:B,MATCH(F66,[1]Allowance!A:A,0))</f>
        <v>216</v>
      </c>
      <c r="M66" s="79"/>
      <c r="N66" s="79"/>
      <c r="O66" s="79"/>
      <c r="P66" s="79">
        <v>112</v>
      </c>
      <c r="Q66" s="78">
        <f t="shared" si="2"/>
        <v>7362.0346153846149</v>
      </c>
      <c r="R66" s="78">
        <f t="shared" si="3"/>
        <v>3024</v>
      </c>
      <c r="S66" s="78">
        <f t="shared" si="4"/>
        <v>0</v>
      </c>
      <c r="T66" s="78">
        <f t="shared" si="5"/>
        <v>0</v>
      </c>
      <c r="U66" s="79"/>
      <c r="V66" s="78">
        <f t="shared" si="30"/>
        <v>0</v>
      </c>
      <c r="W66" s="80"/>
      <c r="X66" s="80">
        <f t="shared" si="6"/>
        <v>0</v>
      </c>
      <c r="Y66" s="79"/>
      <c r="Z66" s="78">
        <f t="shared" si="7"/>
        <v>0</v>
      </c>
      <c r="AA66" s="80"/>
      <c r="AB66" s="78">
        <f t="shared" si="8"/>
        <v>0</v>
      </c>
      <c r="AC66" s="79"/>
      <c r="AD66" s="78">
        <f t="shared" si="9"/>
        <v>0</v>
      </c>
      <c r="AE66" s="80"/>
      <c r="AF66" s="78">
        <f t="shared" si="10"/>
        <v>0</v>
      </c>
      <c r="AG66" s="79"/>
      <c r="AH66" s="78">
        <f t="shared" si="11"/>
        <v>0</v>
      </c>
      <c r="AI66" s="80"/>
      <c r="AJ66" s="78">
        <f t="shared" si="12"/>
        <v>0</v>
      </c>
      <c r="AK66" s="80"/>
      <c r="AL66" s="78">
        <f t="shared" si="13"/>
        <v>0</v>
      </c>
      <c r="AM66" s="80"/>
      <c r="AN66" s="78">
        <f t="shared" si="14"/>
        <v>0</v>
      </c>
      <c r="AO66" s="80"/>
      <c r="AP66" s="78">
        <f t="shared" si="15"/>
        <v>0</v>
      </c>
      <c r="AQ66" s="80"/>
      <c r="AR66" s="78">
        <f t="shared" si="16"/>
        <v>0</v>
      </c>
      <c r="AS66" s="80"/>
      <c r="AT66" s="78">
        <f t="shared" si="17"/>
        <v>0</v>
      </c>
      <c r="AU66" s="80"/>
      <c r="AV66" s="78">
        <f t="shared" si="18"/>
        <v>0</v>
      </c>
      <c r="AW66" s="80"/>
      <c r="AX66" s="78">
        <f t="shared" si="19"/>
        <v>0</v>
      </c>
      <c r="AY66" s="80"/>
      <c r="AZ66" s="78">
        <f t="shared" si="20"/>
        <v>0</v>
      </c>
      <c r="BA66" s="80"/>
      <c r="BB66" s="78">
        <f t="shared" si="21"/>
        <v>0</v>
      </c>
      <c r="BC66" s="80"/>
      <c r="BD66" s="78">
        <f t="shared" si="22"/>
        <v>0</v>
      </c>
      <c r="BE66" s="80"/>
      <c r="BF66" s="78">
        <f t="shared" si="23"/>
        <v>0</v>
      </c>
      <c r="BG66" s="80"/>
      <c r="BH66" s="78">
        <f t="shared" si="24"/>
        <v>0</v>
      </c>
      <c r="BI66" s="80"/>
      <c r="BJ66" s="78">
        <f t="shared" si="25"/>
        <v>0</v>
      </c>
      <c r="BK66" s="80"/>
      <c r="BL66" s="78">
        <f t="shared" si="26"/>
        <v>0</v>
      </c>
      <c r="BM66" s="80"/>
      <c r="BN66" s="78">
        <f t="shared" si="27"/>
        <v>0</v>
      </c>
      <c r="BO66" s="80"/>
      <c r="BP66" s="78">
        <f t="shared" si="28"/>
        <v>0</v>
      </c>
      <c r="BQ66" s="80"/>
      <c r="BR66" s="78">
        <f t="shared" si="31"/>
        <v>0</v>
      </c>
      <c r="BS66" s="73"/>
      <c r="BT66" s="81">
        <f t="shared" si="29"/>
        <v>0</v>
      </c>
      <c r="BU66" s="81"/>
      <c r="BV66" s="81"/>
      <c r="BW66" s="81"/>
      <c r="BX66" s="81">
        <f t="shared" si="0"/>
        <v>7362.0346153846149</v>
      </c>
    </row>
    <row r="67" spans="1:76" s="82" customFormat="1" x14ac:dyDescent="0.3">
      <c r="A67" s="73">
        <v>63754</v>
      </c>
      <c r="B67" s="74" t="s">
        <v>150</v>
      </c>
      <c r="C67" s="74" t="s">
        <v>39</v>
      </c>
      <c r="D67" s="74" t="s">
        <v>149</v>
      </c>
      <c r="E67" s="74" t="str">
        <f>INDEX('[1]Branch code'!F:F,MATCH(D67,'[1]Branch code'!D:D,0))</f>
        <v xml:space="preserve"> Sight Testers, Inc.</v>
      </c>
      <c r="F67" s="75">
        <f>INDEX('[1]Region rate'!B:B,MATCH(D67,'[1]Region rate'!A:A,0))</f>
        <v>5</v>
      </c>
      <c r="G67" s="76">
        <f>INDEX('[1]Region rate'!C:C,MATCH(F67,'[1]Region rate'!B:B,0))</f>
        <v>525.85961538461538</v>
      </c>
      <c r="H67" s="77">
        <f t="shared" si="1"/>
        <v>65.732451923076923</v>
      </c>
      <c r="I67" s="78">
        <v>0.03</v>
      </c>
      <c r="J67" s="78"/>
      <c r="K67" s="79"/>
      <c r="L67" s="79">
        <f>INDEX([1]Allowance!B:B,MATCH(F67,[1]Allowance!A:A,0))</f>
        <v>216</v>
      </c>
      <c r="M67" s="79"/>
      <c r="N67" s="79"/>
      <c r="O67" s="79"/>
      <c r="P67" s="79">
        <v>111.97</v>
      </c>
      <c r="Q67" s="78">
        <f t="shared" si="2"/>
        <v>7360.062641826923</v>
      </c>
      <c r="R67" s="78">
        <f t="shared" si="3"/>
        <v>3023.19</v>
      </c>
      <c r="S67" s="78">
        <f t="shared" si="4"/>
        <v>0</v>
      </c>
      <c r="T67" s="78">
        <f t="shared" si="5"/>
        <v>0</v>
      </c>
      <c r="U67" s="79"/>
      <c r="V67" s="78">
        <f t="shared" si="30"/>
        <v>0</v>
      </c>
      <c r="W67" s="80"/>
      <c r="X67" s="80">
        <f t="shared" si="6"/>
        <v>0</v>
      </c>
      <c r="Y67" s="79">
        <v>2.5</v>
      </c>
      <c r="Z67" s="78">
        <f t="shared" si="7"/>
        <v>205.41391225961542</v>
      </c>
      <c r="AA67" s="80"/>
      <c r="AB67" s="78">
        <f t="shared" si="8"/>
        <v>0</v>
      </c>
      <c r="AC67" s="79"/>
      <c r="AD67" s="78">
        <f t="shared" si="9"/>
        <v>0</v>
      </c>
      <c r="AE67" s="80"/>
      <c r="AF67" s="78">
        <f t="shared" si="10"/>
        <v>0</v>
      </c>
      <c r="AG67" s="79"/>
      <c r="AH67" s="78">
        <f t="shared" si="11"/>
        <v>0</v>
      </c>
      <c r="AI67" s="80"/>
      <c r="AJ67" s="78">
        <f t="shared" si="12"/>
        <v>0</v>
      </c>
      <c r="AK67" s="80"/>
      <c r="AL67" s="78">
        <f t="shared" si="13"/>
        <v>0</v>
      </c>
      <c r="AM67" s="80"/>
      <c r="AN67" s="78">
        <f t="shared" si="14"/>
        <v>0</v>
      </c>
      <c r="AO67" s="80"/>
      <c r="AP67" s="78">
        <f t="shared" si="15"/>
        <v>0</v>
      </c>
      <c r="AQ67" s="80"/>
      <c r="AR67" s="78">
        <f t="shared" si="16"/>
        <v>0</v>
      </c>
      <c r="AS67" s="80"/>
      <c r="AT67" s="78">
        <f t="shared" si="17"/>
        <v>0</v>
      </c>
      <c r="AU67" s="80"/>
      <c r="AV67" s="78">
        <f t="shared" si="18"/>
        <v>0</v>
      </c>
      <c r="AW67" s="80"/>
      <c r="AX67" s="78">
        <f t="shared" si="19"/>
        <v>0</v>
      </c>
      <c r="AY67" s="80"/>
      <c r="AZ67" s="78">
        <f t="shared" si="20"/>
        <v>0</v>
      </c>
      <c r="BA67" s="80"/>
      <c r="BB67" s="78">
        <f t="shared" si="21"/>
        <v>0</v>
      </c>
      <c r="BC67" s="80"/>
      <c r="BD67" s="78">
        <f t="shared" si="22"/>
        <v>0</v>
      </c>
      <c r="BE67" s="80"/>
      <c r="BF67" s="78">
        <f t="shared" si="23"/>
        <v>0</v>
      </c>
      <c r="BG67" s="80"/>
      <c r="BH67" s="78">
        <f t="shared" si="24"/>
        <v>0</v>
      </c>
      <c r="BI67" s="80"/>
      <c r="BJ67" s="78">
        <f t="shared" si="25"/>
        <v>0</v>
      </c>
      <c r="BK67" s="80"/>
      <c r="BL67" s="78">
        <f t="shared" si="26"/>
        <v>0</v>
      </c>
      <c r="BM67" s="80"/>
      <c r="BN67" s="78">
        <f t="shared" si="27"/>
        <v>0</v>
      </c>
      <c r="BO67" s="80"/>
      <c r="BP67" s="78">
        <f t="shared" si="28"/>
        <v>0</v>
      </c>
      <c r="BQ67" s="80"/>
      <c r="BR67" s="78">
        <f t="shared" si="31"/>
        <v>0</v>
      </c>
      <c r="BS67" s="73"/>
      <c r="BT67" s="81">
        <f t="shared" si="29"/>
        <v>0</v>
      </c>
      <c r="BU67" s="81"/>
      <c r="BV67" s="81"/>
      <c r="BW67" s="81"/>
      <c r="BX67" s="81">
        <f t="shared" si="0"/>
        <v>7565.4765540865383</v>
      </c>
    </row>
    <row r="68" spans="1:76" s="82" customFormat="1" x14ac:dyDescent="0.3">
      <c r="A68" s="73">
        <v>37680</v>
      </c>
      <c r="B68" s="74" t="s">
        <v>151</v>
      </c>
      <c r="C68" s="74" t="s">
        <v>39</v>
      </c>
      <c r="D68" s="74" t="s">
        <v>152</v>
      </c>
      <c r="E68" s="74" t="str">
        <f>INDEX('[1]Branch code'!F:F,MATCH(D68,'[1]Branch code'!D:D,0))</f>
        <v xml:space="preserve"> Legato Visions, Inc.</v>
      </c>
      <c r="F68" s="75">
        <f>INDEX('[1]Region rate'!B:B,MATCH(D68,'[1]Region rate'!A:A,0))</f>
        <v>3</v>
      </c>
      <c r="G68" s="76">
        <f>INDEX('[1]Region rate'!C:C,MATCH(F68,'[1]Region rate'!B:B,0))</f>
        <v>641.875</v>
      </c>
      <c r="H68" s="77">
        <f t="shared" si="1"/>
        <v>80.234375</v>
      </c>
      <c r="I68" s="78"/>
      <c r="J68" s="78"/>
      <c r="K68" s="79">
        <v>8</v>
      </c>
      <c r="L68" s="79">
        <f>INDEX([1]Allowance!B:B,MATCH(F68,[1]Allowance!A:A,0))</f>
        <v>120</v>
      </c>
      <c r="M68" s="79">
        <v>38.46</v>
      </c>
      <c r="N68" s="79"/>
      <c r="O68" s="79"/>
      <c r="P68" s="79">
        <v>104</v>
      </c>
      <c r="Q68" s="78">
        <f t="shared" si="2"/>
        <v>8344.375</v>
      </c>
      <c r="R68" s="78">
        <f t="shared" si="3"/>
        <v>1560</v>
      </c>
      <c r="S68" s="78">
        <f t="shared" si="4"/>
        <v>499.98</v>
      </c>
      <c r="T68" s="78">
        <f t="shared" si="5"/>
        <v>0</v>
      </c>
      <c r="U68" s="79"/>
      <c r="V68" s="78">
        <f t="shared" si="30"/>
        <v>0</v>
      </c>
      <c r="W68" s="80"/>
      <c r="X68" s="80">
        <f t="shared" si="6"/>
        <v>0</v>
      </c>
      <c r="Y68" s="79"/>
      <c r="Z68" s="78">
        <f t="shared" si="7"/>
        <v>0</v>
      </c>
      <c r="AA68" s="80"/>
      <c r="AB68" s="78">
        <f t="shared" si="8"/>
        <v>0</v>
      </c>
      <c r="AC68" s="79"/>
      <c r="AD68" s="78">
        <f t="shared" si="9"/>
        <v>0</v>
      </c>
      <c r="AE68" s="80"/>
      <c r="AF68" s="78">
        <f t="shared" si="10"/>
        <v>0</v>
      </c>
      <c r="AG68" s="79"/>
      <c r="AH68" s="78">
        <f t="shared" si="11"/>
        <v>0</v>
      </c>
      <c r="AI68" s="80"/>
      <c r="AJ68" s="78">
        <f t="shared" si="12"/>
        <v>0</v>
      </c>
      <c r="AK68" s="80"/>
      <c r="AL68" s="78">
        <f t="shared" si="13"/>
        <v>0</v>
      </c>
      <c r="AM68" s="80"/>
      <c r="AN68" s="78">
        <f t="shared" si="14"/>
        <v>0</v>
      </c>
      <c r="AO68" s="80"/>
      <c r="AP68" s="78">
        <f t="shared" si="15"/>
        <v>0</v>
      </c>
      <c r="AQ68" s="80"/>
      <c r="AR68" s="78">
        <f t="shared" si="16"/>
        <v>0</v>
      </c>
      <c r="AS68" s="80"/>
      <c r="AT68" s="78">
        <f t="shared" si="17"/>
        <v>0</v>
      </c>
      <c r="AU68" s="80"/>
      <c r="AV68" s="78">
        <f t="shared" si="18"/>
        <v>0</v>
      </c>
      <c r="AW68" s="80"/>
      <c r="AX68" s="78">
        <f t="shared" si="19"/>
        <v>0</v>
      </c>
      <c r="AY68" s="80"/>
      <c r="AZ68" s="78">
        <f t="shared" si="20"/>
        <v>0</v>
      </c>
      <c r="BA68" s="80"/>
      <c r="BB68" s="78">
        <f t="shared" si="21"/>
        <v>0</v>
      </c>
      <c r="BC68" s="80"/>
      <c r="BD68" s="78">
        <f t="shared" si="22"/>
        <v>0</v>
      </c>
      <c r="BE68" s="80"/>
      <c r="BF68" s="78">
        <f t="shared" si="23"/>
        <v>0</v>
      </c>
      <c r="BG68" s="80"/>
      <c r="BH68" s="78">
        <f t="shared" si="24"/>
        <v>0</v>
      </c>
      <c r="BI68" s="80"/>
      <c r="BJ68" s="78">
        <f t="shared" si="25"/>
        <v>0</v>
      </c>
      <c r="BK68" s="80"/>
      <c r="BL68" s="78">
        <f t="shared" si="26"/>
        <v>0</v>
      </c>
      <c r="BM68" s="80"/>
      <c r="BN68" s="78">
        <f t="shared" si="27"/>
        <v>0</v>
      </c>
      <c r="BO68" s="80"/>
      <c r="BP68" s="78">
        <f t="shared" si="28"/>
        <v>0</v>
      </c>
      <c r="BQ68" s="80"/>
      <c r="BR68" s="78">
        <f t="shared" si="31"/>
        <v>0</v>
      </c>
      <c r="BS68" s="73"/>
      <c r="BT68" s="81">
        <f t="shared" si="29"/>
        <v>0</v>
      </c>
      <c r="BU68" s="81"/>
      <c r="BV68" s="81"/>
      <c r="BW68" s="81"/>
      <c r="BX68" s="81">
        <f t="shared" si="0"/>
        <v>8344.375</v>
      </c>
    </row>
    <row r="69" spans="1:76" s="82" customFormat="1" x14ac:dyDescent="0.3">
      <c r="A69" s="73">
        <v>37560</v>
      </c>
      <c r="B69" s="74" t="s">
        <v>153</v>
      </c>
      <c r="C69" s="74" t="s">
        <v>39</v>
      </c>
      <c r="D69" s="74" t="s">
        <v>152</v>
      </c>
      <c r="E69" s="74" t="str">
        <f>INDEX('[1]Branch code'!F:F,MATCH(D69,'[1]Branch code'!D:D,0))</f>
        <v xml:space="preserve"> Legato Visions, Inc.</v>
      </c>
      <c r="F69" s="75">
        <f>INDEX('[1]Region rate'!B:B,MATCH(D69,'[1]Region rate'!A:A,0))</f>
        <v>3</v>
      </c>
      <c r="G69" s="76">
        <f>INDEX('[1]Region rate'!C:C,MATCH(F69,'[1]Region rate'!B:B,0))</f>
        <v>641.875</v>
      </c>
      <c r="H69" s="77">
        <f t="shared" si="1"/>
        <v>80.234375</v>
      </c>
      <c r="I69" s="78"/>
      <c r="J69" s="78"/>
      <c r="K69" s="79">
        <v>112</v>
      </c>
      <c r="L69" s="79">
        <f>INDEX([1]Allowance!B:B,MATCH(F69,[1]Allowance!A:A,0))</f>
        <v>120</v>
      </c>
      <c r="M69" s="79"/>
      <c r="N69" s="79"/>
      <c r="O69" s="79"/>
      <c r="P69" s="79"/>
      <c r="Q69" s="78">
        <f t="shared" si="2"/>
        <v>0</v>
      </c>
      <c r="R69" s="78">
        <f t="shared" si="3"/>
        <v>0</v>
      </c>
      <c r="S69" s="78">
        <f t="shared" si="4"/>
        <v>0</v>
      </c>
      <c r="T69" s="78">
        <f t="shared" si="5"/>
        <v>0</v>
      </c>
      <c r="U69" s="79"/>
      <c r="V69" s="78">
        <f t="shared" si="30"/>
        <v>0</v>
      </c>
      <c r="W69" s="80"/>
      <c r="X69" s="80">
        <f t="shared" si="6"/>
        <v>0</v>
      </c>
      <c r="Y69" s="79"/>
      <c r="Z69" s="78">
        <f t="shared" si="7"/>
        <v>0</v>
      </c>
      <c r="AA69" s="80"/>
      <c r="AB69" s="78">
        <f t="shared" si="8"/>
        <v>0</v>
      </c>
      <c r="AC69" s="79"/>
      <c r="AD69" s="78">
        <f t="shared" si="9"/>
        <v>0</v>
      </c>
      <c r="AE69" s="80"/>
      <c r="AF69" s="78">
        <f t="shared" si="10"/>
        <v>0</v>
      </c>
      <c r="AG69" s="79"/>
      <c r="AH69" s="78">
        <f t="shared" si="11"/>
        <v>0</v>
      </c>
      <c r="AI69" s="80"/>
      <c r="AJ69" s="78">
        <f t="shared" si="12"/>
        <v>0</v>
      </c>
      <c r="AK69" s="80"/>
      <c r="AL69" s="78">
        <f t="shared" si="13"/>
        <v>0</v>
      </c>
      <c r="AM69" s="80"/>
      <c r="AN69" s="78">
        <f t="shared" si="14"/>
        <v>0</v>
      </c>
      <c r="AO69" s="80"/>
      <c r="AP69" s="78">
        <f t="shared" si="15"/>
        <v>0</v>
      </c>
      <c r="AQ69" s="80"/>
      <c r="AR69" s="78">
        <f t="shared" si="16"/>
        <v>0</v>
      </c>
      <c r="AS69" s="80"/>
      <c r="AT69" s="78">
        <f t="shared" si="17"/>
        <v>0</v>
      </c>
      <c r="AU69" s="80"/>
      <c r="AV69" s="78">
        <f t="shared" si="18"/>
        <v>0</v>
      </c>
      <c r="AW69" s="80"/>
      <c r="AX69" s="78">
        <f t="shared" si="19"/>
        <v>0</v>
      </c>
      <c r="AY69" s="80"/>
      <c r="AZ69" s="78">
        <f t="shared" si="20"/>
        <v>0</v>
      </c>
      <c r="BA69" s="80"/>
      <c r="BB69" s="78">
        <f t="shared" si="21"/>
        <v>0</v>
      </c>
      <c r="BC69" s="80"/>
      <c r="BD69" s="78">
        <f t="shared" si="22"/>
        <v>0</v>
      </c>
      <c r="BE69" s="80"/>
      <c r="BF69" s="78">
        <f t="shared" si="23"/>
        <v>0</v>
      </c>
      <c r="BG69" s="80"/>
      <c r="BH69" s="78">
        <f t="shared" si="24"/>
        <v>0</v>
      </c>
      <c r="BI69" s="80"/>
      <c r="BJ69" s="78">
        <f t="shared" si="25"/>
        <v>0</v>
      </c>
      <c r="BK69" s="80"/>
      <c r="BL69" s="78">
        <f t="shared" si="26"/>
        <v>0</v>
      </c>
      <c r="BM69" s="80"/>
      <c r="BN69" s="78">
        <f t="shared" si="27"/>
        <v>0</v>
      </c>
      <c r="BO69" s="80"/>
      <c r="BP69" s="78">
        <f t="shared" si="28"/>
        <v>0</v>
      </c>
      <c r="BQ69" s="80"/>
      <c r="BR69" s="78">
        <f t="shared" si="31"/>
        <v>0</v>
      </c>
      <c r="BS69" s="73"/>
      <c r="BT69" s="81">
        <f t="shared" si="29"/>
        <v>0</v>
      </c>
      <c r="BU69" s="81"/>
      <c r="BV69" s="81"/>
      <c r="BW69" s="81"/>
      <c r="BX69" s="81">
        <f t="shared" si="0"/>
        <v>0</v>
      </c>
    </row>
    <row r="70" spans="1:76" s="82" customFormat="1" x14ac:dyDescent="0.3">
      <c r="A70" s="73">
        <v>37679</v>
      </c>
      <c r="B70" s="83" t="s">
        <v>154</v>
      </c>
      <c r="C70" s="74" t="s">
        <v>39</v>
      </c>
      <c r="D70" s="74" t="s">
        <v>152</v>
      </c>
      <c r="E70" s="74" t="str">
        <f>INDEX('[1]Branch code'!F:F,MATCH(D70,'[1]Branch code'!D:D,0))</f>
        <v xml:space="preserve"> Legato Visions, Inc.</v>
      </c>
      <c r="F70" s="75">
        <f>INDEX('[1]Region rate'!B:B,MATCH(D70,'[1]Region rate'!A:A,0))</f>
        <v>3</v>
      </c>
      <c r="G70" s="76">
        <f>INDEX('[1]Region rate'!C:C,MATCH(F70,'[1]Region rate'!B:B,0))</f>
        <v>641.875</v>
      </c>
      <c r="H70" s="77">
        <f t="shared" si="1"/>
        <v>80.234375</v>
      </c>
      <c r="I70" s="78">
        <v>0.23</v>
      </c>
      <c r="J70" s="78"/>
      <c r="K70" s="79">
        <v>8</v>
      </c>
      <c r="L70" s="79">
        <f>INDEX([1]Allowance!B:B,MATCH(F70,[1]Allowance!A:A,0))</f>
        <v>120</v>
      </c>
      <c r="M70" s="79"/>
      <c r="N70" s="79"/>
      <c r="O70" s="79"/>
      <c r="P70" s="79">
        <v>103.77</v>
      </c>
      <c r="Q70" s="78">
        <f t="shared" si="2"/>
        <v>8325.9210937499993</v>
      </c>
      <c r="R70" s="78">
        <f t="shared" si="3"/>
        <v>1556.55</v>
      </c>
      <c r="S70" s="78">
        <f t="shared" si="4"/>
        <v>0</v>
      </c>
      <c r="T70" s="78">
        <f t="shared" si="5"/>
        <v>0</v>
      </c>
      <c r="U70" s="79"/>
      <c r="V70" s="78">
        <f t="shared" si="30"/>
        <v>0</v>
      </c>
      <c r="W70" s="80">
        <v>0.02</v>
      </c>
      <c r="X70" s="80">
        <f t="shared" si="6"/>
        <v>1.6046875</v>
      </c>
      <c r="Y70" s="79">
        <v>4</v>
      </c>
      <c r="Z70" s="78">
        <f t="shared" si="7"/>
        <v>401.171875</v>
      </c>
      <c r="AA70" s="80"/>
      <c r="AB70" s="78">
        <f t="shared" si="8"/>
        <v>0</v>
      </c>
      <c r="AC70" s="79"/>
      <c r="AD70" s="78">
        <f t="shared" si="9"/>
        <v>0</v>
      </c>
      <c r="AE70" s="80"/>
      <c r="AF70" s="78">
        <f t="shared" si="10"/>
        <v>0</v>
      </c>
      <c r="AG70" s="79"/>
      <c r="AH70" s="78">
        <f t="shared" si="11"/>
        <v>0</v>
      </c>
      <c r="AI70" s="80"/>
      <c r="AJ70" s="78">
        <f t="shared" si="12"/>
        <v>0</v>
      </c>
      <c r="AK70" s="80"/>
      <c r="AL70" s="78">
        <f t="shared" si="13"/>
        <v>0</v>
      </c>
      <c r="AM70" s="80"/>
      <c r="AN70" s="78">
        <f t="shared" si="14"/>
        <v>0</v>
      </c>
      <c r="AO70" s="80"/>
      <c r="AP70" s="78">
        <f t="shared" si="15"/>
        <v>0</v>
      </c>
      <c r="AQ70" s="80"/>
      <c r="AR70" s="78">
        <f t="shared" si="16"/>
        <v>0</v>
      </c>
      <c r="AS70" s="80"/>
      <c r="AT70" s="78">
        <f t="shared" si="17"/>
        <v>0</v>
      </c>
      <c r="AU70" s="80"/>
      <c r="AV70" s="78">
        <f t="shared" si="18"/>
        <v>0</v>
      </c>
      <c r="AW70" s="80"/>
      <c r="AX70" s="78">
        <f t="shared" si="19"/>
        <v>0</v>
      </c>
      <c r="AY70" s="80"/>
      <c r="AZ70" s="78">
        <f t="shared" si="20"/>
        <v>0</v>
      </c>
      <c r="BA70" s="80"/>
      <c r="BB70" s="78">
        <f t="shared" si="21"/>
        <v>0</v>
      </c>
      <c r="BC70" s="80"/>
      <c r="BD70" s="78">
        <f t="shared" si="22"/>
        <v>0</v>
      </c>
      <c r="BE70" s="80"/>
      <c r="BF70" s="78">
        <f t="shared" si="23"/>
        <v>0</v>
      </c>
      <c r="BG70" s="80"/>
      <c r="BH70" s="78">
        <f t="shared" si="24"/>
        <v>0</v>
      </c>
      <c r="BI70" s="80"/>
      <c r="BJ70" s="78">
        <f t="shared" si="25"/>
        <v>0</v>
      </c>
      <c r="BK70" s="80"/>
      <c r="BL70" s="78">
        <f t="shared" si="26"/>
        <v>0</v>
      </c>
      <c r="BM70" s="80"/>
      <c r="BN70" s="78">
        <f t="shared" si="27"/>
        <v>0</v>
      </c>
      <c r="BO70" s="80"/>
      <c r="BP70" s="78">
        <f t="shared" si="28"/>
        <v>0</v>
      </c>
      <c r="BQ70" s="80"/>
      <c r="BR70" s="78">
        <f t="shared" si="31"/>
        <v>0</v>
      </c>
      <c r="BS70" s="73"/>
      <c r="BT70" s="81">
        <f t="shared" si="29"/>
        <v>0</v>
      </c>
      <c r="BU70" s="81"/>
      <c r="BV70" s="84">
        <f>H70*Z5</f>
        <v>100.29296875</v>
      </c>
      <c r="BW70" s="81"/>
      <c r="BX70" s="81">
        <f t="shared" ref="BX70:BX104" si="32">Q70+V70+Z70+AB70+AD70+AF70+AH70+AJ70+AL70+AN70+AP70+AR70+AT70+AV70+AX70+AZ70+BB70+BD70+BF70+BH70+BJ70+BL70+BN70+BP70+BR70+BT70-X70</f>
        <v>8725.48828125</v>
      </c>
    </row>
    <row r="71" spans="1:76" s="82" customFormat="1" x14ac:dyDescent="0.3">
      <c r="A71" s="73">
        <v>37658</v>
      </c>
      <c r="B71" s="74" t="s">
        <v>155</v>
      </c>
      <c r="C71" s="74" t="s">
        <v>39</v>
      </c>
      <c r="D71" s="74" t="s">
        <v>156</v>
      </c>
      <c r="E71" s="74" t="str">
        <f>INDEX('[1]Branch code'!F:F,MATCH(D71,'[1]Branch code'!D:D,0))</f>
        <v xml:space="preserve"> Indigo Visions, Inc.</v>
      </c>
      <c r="F71" s="75">
        <f>INDEX('[1]Region rate'!B:B,MATCH(D71,'[1]Region rate'!A:A,0))</f>
        <v>6</v>
      </c>
      <c r="G71" s="76">
        <f>INDEX('[1]Region rate'!C:C,MATCH(F71,'[1]Region rate'!B:B,0))</f>
        <v>628.57500000000005</v>
      </c>
      <c r="H71" s="77">
        <f t="shared" ref="H71:H104" si="33">G71/8</f>
        <v>78.571875000000006</v>
      </c>
      <c r="I71" s="78"/>
      <c r="J71" s="78"/>
      <c r="K71" s="79"/>
      <c r="L71" s="79">
        <f>INDEX([1]Allowance!B:B,MATCH(F71,[1]Allowance!A:A,0))</f>
        <v>132</v>
      </c>
      <c r="M71" s="79">
        <v>38.46</v>
      </c>
      <c r="N71" s="79"/>
      <c r="O71" s="79"/>
      <c r="P71" s="79">
        <v>112</v>
      </c>
      <c r="Q71" s="78">
        <f t="shared" ref="Q71:Q104" si="34">(O71+P71)*H71</f>
        <v>8800.0500000000011</v>
      </c>
      <c r="R71" s="78">
        <f t="shared" ref="R71:R104" si="35">(O71+P71+AG71+AO71+AW71+BE71+BM71)/8*L71</f>
        <v>1848</v>
      </c>
      <c r="S71" s="78">
        <f t="shared" ref="S71:S104" si="36">(O71+P71+AG71+AO71+AW71+BE71+BM71)/8*M71</f>
        <v>538.44000000000005</v>
      </c>
      <c r="T71" s="78">
        <f t="shared" ref="T71:T104" si="37">(O71+P71+AG71+AO71+AW71+BE71+BM71)/8*N71</f>
        <v>0</v>
      </c>
      <c r="U71" s="79"/>
      <c r="V71" s="78">
        <f t="shared" ref="V71:V104" si="38">H71*$V$5*U71</f>
        <v>0</v>
      </c>
      <c r="W71" s="80"/>
      <c r="X71" s="80">
        <f t="shared" ref="X71:X104" si="39">W71*H71</f>
        <v>0</v>
      </c>
      <c r="Y71" s="79"/>
      <c r="Z71" s="78">
        <f t="shared" ref="Z71:Z104" si="40">H71*$Z$5*Y71</f>
        <v>0</v>
      </c>
      <c r="AA71" s="80"/>
      <c r="AB71" s="78">
        <f t="shared" ref="AB71:AB104" si="41">H71*$AB$5*AA71</f>
        <v>0</v>
      </c>
      <c r="AC71" s="79"/>
      <c r="AD71" s="78">
        <f t="shared" ref="AD71:AD104" si="42">H71*$AD$5*AC71</f>
        <v>0</v>
      </c>
      <c r="AE71" s="80"/>
      <c r="AF71" s="78">
        <f t="shared" ref="AF71:AF104" si="43">H71*$AF$5*AE71</f>
        <v>0</v>
      </c>
      <c r="AG71" s="79"/>
      <c r="AH71" s="78">
        <f t="shared" ref="AH71:AH104" si="44">H71*$AH$5*AG71</f>
        <v>0</v>
      </c>
      <c r="AI71" s="80"/>
      <c r="AJ71" s="78">
        <f t="shared" ref="AJ71:AJ104" si="45">H71*$AJ$5*AI71</f>
        <v>0</v>
      </c>
      <c r="AK71" s="80"/>
      <c r="AL71" s="78">
        <f t="shared" ref="AL71:AL104" si="46">H71*$AL$5*AK71</f>
        <v>0</v>
      </c>
      <c r="AM71" s="80"/>
      <c r="AN71" s="78">
        <f t="shared" ref="AN71:AN104" si="47">H71*$AN$5*AM71</f>
        <v>0</v>
      </c>
      <c r="AO71" s="80"/>
      <c r="AP71" s="78">
        <f t="shared" ref="AP71:AP104" si="48">H71*$AP$5*AO71</f>
        <v>0</v>
      </c>
      <c r="AQ71" s="80"/>
      <c r="AR71" s="78">
        <f t="shared" ref="AR71:AR104" si="49">H71*$AR$5*AQ71</f>
        <v>0</v>
      </c>
      <c r="AS71" s="80"/>
      <c r="AT71" s="78">
        <f t="shared" ref="AT71:AT104" si="50">H71*$AT$5*AS71</f>
        <v>0</v>
      </c>
      <c r="AU71" s="80"/>
      <c r="AV71" s="78">
        <f t="shared" ref="AV71:AV104" si="51">H71*$AV$5*AU71</f>
        <v>0</v>
      </c>
      <c r="AW71" s="80"/>
      <c r="AX71" s="78">
        <f t="shared" ref="AX71:AX104" si="52">H71*$AX$5*AW71</f>
        <v>0</v>
      </c>
      <c r="AY71" s="80"/>
      <c r="AZ71" s="78">
        <f t="shared" ref="AZ71:AZ104" si="53">H71*$AZ$5*AY71</f>
        <v>0</v>
      </c>
      <c r="BA71" s="80"/>
      <c r="BB71" s="78">
        <f t="shared" ref="BB71:BB104" si="54">H71*$BB$5*BA71</f>
        <v>0</v>
      </c>
      <c r="BC71" s="80"/>
      <c r="BD71" s="78">
        <f t="shared" ref="BD71:BD104" si="55">H71*$BD$5*BC71</f>
        <v>0</v>
      </c>
      <c r="BE71" s="80"/>
      <c r="BF71" s="78">
        <f t="shared" ref="BF71:BF104" si="56">H71*$BF$5*BE71</f>
        <v>0</v>
      </c>
      <c r="BG71" s="80"/>
      <c r="BH71" s="78">
        <f t="shared" ref="BH71:BH104" si="57">H71*$BH$5*BG71</f>
        <v>0</v>
      </c>
      <c r="BI71" s="80"/>
      <c r="BJ71" s="78">
        <f t="shared" ref="BJ71:BJ104" si="58">H71*$BJ$5*BI71</f>
        <v>0</v>
      </c>
      <c r="BK71" s="80"/>
      <c r="BL71" s="78">
        <f t="shared" ref="BL71:BL104" si="59">H71*$BL$5*BK71</f>
        <v>0</v>
      </c>
      <c r="BM71" s="80"/>
      <c r="BN71" s="78">
        <f t="shared" ref="BN71:BN104" si="60">H71*$BN$5*BM71</f>
        <v>0</v>
      </c>
      <c r="BO71" s="80"/>
      <c r="BP71" s="78">
        <f t="shared" ref="BP71:BP104" si="61">H71*$BP$5*BO71</f>
        <v>0</v>
      </c>
      <c r="BQ71" s="80"/>
      <c r="BR71" s="78">
        <f t="shared" si="31"/>
        <v>0</v>
      </c>
      <c r="BS71" s="73"/>
      <c r="BT71" s="81">
        <f t="shared" ref="BT71:BT104" si="62">H71*$BT$5*BS71</f>
        <v>0</v>
      </c>
      <c r="BU71" s="81"/>
      <c r="BV71" s="81"/>
      <c r="BW71" s="81"/>
      <c r="BX71" s="81">
        <f t="shared" si="32"/>
        <v>8800.0500000000011</v>
      </c>
    </row>
    <row r="72" spans="1:76" s="82" customFormat="1" x14ac:dyDescent="0.3">
      <c r="A72" s="73">
        <v>64349</v>
      </c>
      <c r="B72" s="74" t="s">
        <v>157</v>
      </c>
      <c r="C72" s="74" t="s">
        <v>39</v>
      </c>
      <c r="D72" s="74" t="s">
        <v>158</v>
      </c>
      <c r="E72" s="74" t="str">
        <f>INDEX('[1]Branch code'!F:F,MATCH(D72,'[1]Branch code'!D:D,0))</f>
        <v xml:space="preserve"> Occhialli, Inc.</v>
      </c>
      <c r="F72" s="75" t="str">
        <f>INDEX('[1]Region rate'!B:B,MATCH(D72,'[1]Region rate'!A:A,0))</f>
        <v>4A2</v>
      </c>
      <c r="G72" s="76">
        <f>INDEX('[1]Region rate'!C:C,MATCH(F72,'[1]Region rate'!B:B,0))</f>
        <v>636.33333333333337</v>
      </c>
      <c r="H72" s="77">
        <f t="shared" si="33"/>
        <v>79.541666666666671</v>
      </c>
      <c r="I72" s="78"/>
      <c r="J72" s="78"/>
      <c r="K72" s="79">
        <v>112</v>
      </c>
      <c r="L72" s="79">
        <f>INDEX([1]Allowance!B:B,MATCH(F72,[1]Allowance!A:A,0))</f>
        <v>125</v>
      </c>
      <c r="M72" s="79"/>
      <c r="N72" s="79"/>
      <c r="O72" s="79"/>
      <c r="P72" s="79"/>
      <c r="Q72" s="78">
        <f t="shared" si="34"/>
        <v>0</v>
      </c>
      <c r="R72" s="78">
        <f t="shared" si="35"/>
        <v>0</v>
      </c>
      <c r="S72" s="78">
        <f t="shared" si="36"/>
        <v>0</v>
      </c>
      <c r="T72" s="78">
        <f t="shared" si="37"/>
        <v>0</v>
      </c>
      <c r="U72" s="79"/>
      <c r="V72" s="78">
        <f t="shared" si="38"/>
        <v>0</v>
      </c>
      <c r="W72" s="80"/>
      <c r="X72" s="80">
        <f t="shared" si="39"/>
        <v>0</v>
      </c>
      <c r="Y72" s="79"/>
      <c r="Z72" s="78">
        <f t="shared" si="40"/>
        <v>0</v>
      </c>
      <c r="AA72" s="80"/>
      <c r="AB72" s="78">
        <f t="shared" si="41"/>
        <v>0</v>
      </c>
      <c r="AC72" s="79"/>
      <c r="AD72" s="78">
        <f t="shared" si="42"/>
        <v>0</v>
      </c>
      <c r="AE72" s="80"/>
      <c r="AF72" s="78">
        <f t="shared" si="43"/>
        <v>0</v>
      </c>
      <c r="AG72" s="79"/>
      <c r="AH72" s="78">
        <f t="shared" si="44"/>
        <v>0</v>
      </c>
      <c r="AI72" s="80"/>
      <c r="AJ72" s="78">
        <f t="shared" si="45"/>
        <v>0</v>
      </c>
      <c r="AK72" s="80"/>
      <c r="AL72" s="78">
        <f t="shared" si="46"/>
        <v>0</v>
      </c>
      <c r="AM72" s="80"/>
      <c r="AN72" s="78">
        <f t="shared" si="47"/>
        <v>0</v>
      </c>
      <c r="AO72" s="80"/>
      <c r="AP72" s="78">
        <f t="shared" si="48"/>
        <v>0</v>
      </c>
      <c r="AQ72" s="80"/>
      <c r="AR72" s="78">
        <f t="shared" si="49"/>
        <v>0</v>
      </c>
      <c r="AS72" s="80"/>
      <c r="AT72" s="78">
        <f t="shared" si="50"/>
        <v>0</v>
      </c>
      <c r="AU72" s="80"/>
      <c r="AV72" s="78">
        <f t="shared" si="51"/>
        <v>0</v>
      </c>
      <c r="AW72" s="80"/>
      <c r="AX72" s="78">
        <f t="shared" si="52"/>
        <v>0</v>
      </c>
      <c r="AY72" s="80"/>
      <c r="AZ72" s="78">
        <f t="shared" si="53"/>
        <v>0</v>
      </c>
      <c r="BA72" s="80"/>
      <c r="BB72" s="78">
        <f t="shared" si="54"/>
        <v>0</v>
      </c>
      <c r="BC72" s="80"/>
      <c r="BD72" s="78">
        <f t="shared" si="55"/>
        <v>0</v>
      </c>
      <c r="BE72" s="80"/>
      <c r="BF72" s="78">
        <f t="shared" si="56"/>
        <v>0</v>
      </c>
      <c r="BG72" s="80"/>
      <c r="BH72" s="78">
        <f t="shared" si="57"/>
        <v>0</v>
      </c>
      <c r="BI72" s="80"/>
      <c r="BJ72" s="78">
        <f t="shared" si="58"/>
        <v>0</v>
      </c>
      <c r="BK72" s="80"/>
      <c r="BL72" s="78">
        <f t="shared" si="59"/>
        <v>0</v>
      </c>
      <c r="BM72" s="80"/>
      <c r="BN72" s="78">
        <f t="shared" si="60"/>
        <v>0</v>
      </c>
      <c r="BO72" s="80"/>
      <c r="BP72" s="78">
        <f t="shared" si="61"/>
        <v>0</v>
      </c>
      <c r="BQ72" s="80"/>
      <c r="BR72" s="78">
        <f t="shared" ref="BR72:BR105" si="63">H72*$BR$5*BQ72</f>
        <v>0</v>
      </c>
      <c r="BS72" s="73"/>
      <c r="BT72" s="81">
        <f t="shared" si="62"/>
        <v>0</v>
      </c>
      <c r="BU72" s="81"/>
      <c r="BV72" s="81"/>
      <c r="BW72" s="81"/>
      <c r="BX72" s="81">
        <f t="shared" si="32"/>
        <v>0</v>
      </c>
    </row>
    <row r="73" spans="1:76" s="82" customFormat="1" x14ac:dyDescent="0.3">
      <c r="A73" s="73">
        <v>63507</v>
      </c>
      <c r="B73" s="83" t="s">
        <v>159</v>
      </c>
      <c r="C73" s="74" t="s">
        <v>39</v>
      </c>
      <c r="D73" s="74" t="s">
        <v>160</v>
      </c>
      <c r="E73" s="74" t="str">
        <f>INDEX('[1]Branch code'!F:F,MATCH(D73,'[1]Branch code'!D:D,0))</f>
        <v xml:space="preserve"> Indigo Visions, Inc.</v>
      </c>
      <c r="F73" s="75" t="str">
        <f>INDEX('[1]Region rate'!B:B,MATCH(D73,'[1]Region rate'!A:A,0))</f>
        <v>4A2</v>
      </c>
      <c r="G73" s="76">
        <f>INDEX('[1]Region rate'!C:C,MATCH(F73,'[1]Region rate'!B:B,0))</f>
        <v>636.33333333333337</v>
      </c>
      <c r="H73" s="77">
        <f t="shared" si="33"/>
        <v>79.541666666666671</v>
      </c>
      <c r="I73" s="78">
        <v>7.0000000000000007E-2</v>
      </c>
      <c r="J73" s="78"/>
      <c r="K73" s="79"/>
      <c r="L73" s="79">
        <f>INDEX([1]Allowance!B:B,MATCH(F73,[1]Allowance!A:A,0))</f>
        <v>125</v>
      </c>
      <c r="M73" s="79"/>
      <c r="N73" s="79"/>
      <c r="O73" s="79"/>
      <c r="P73" s="79">
        <v>103.93</v>
      </c>
      <c r="Q73" s="78">
        <f t="shared" si="34"/>
        <v>8266.7654166666671</v>
      </c>
      <c r="R73" s="78">
        <f t="shared" si="35"/>
        <v>1623.90625</v>
      </c>
      <c r="S73" s="78">
        <f t="shared" si="36"/>
        <v>0</v>
      </c>
      <c r="T73" s="78">
        <f t="shared" si="37"/>
        <v>0</v>
      </c>
      <c r="U73" s="79"/>
      <c r="V73" s="78">
        <f t="shared" si="38"/>
        <v>0</v>
      </c>
      <c r="W73" s="80"/>
      <c r="X73" s="80">
        <f t="shared" si="39"/>
        <v>0</v>
      </c>
      <c r="Y73" s="79">
        <v>14.2667</v>
      </c>
      <c r="Z73" s="78">
        <f t="shared" si="40"/>
        <v>1418.4963697916669</v>
      </c>
      <c r="AA73" s="80"/>
      <c r="AB73" s="78">
        <f t="shared" si="41"/>
        <v>0</v>
      </c>
      <c r="AC73" s="79">
        <v>0.1</v>
      </c>
      <c r="AD73" s="78">
        <f t="shared" si="42"/>
        <v>0.79541666666666677</v>
      </c>
      <c r="AE73" s="80"/>
      <c r="AF73" s="78">
        <f t="shared" si="43"/>
        <v>0</v>
      </c>
      <c r="AG73" s="79"/>
      <c r="AH73" s="78">
        <f t="shared" si="44"/>
        <v>0</v>
      </c>
      <c r="AI73" s="80"/>
      <c r="AJ73" s="78">
        <f t="shared" si="45"/>
        <v>0</v>
      </c>
      <c r="AK73" s="80"/>
      <c r="AL73" s="78">
        <f t="shared" si="46"/>
        <v>0</v>
      </c>
      <c r="AM73" s="80"/>
      <c r="AN73" s="78">
        <f t="shared" si="47"/>
        <v>0</v>
      </c>
      <c r="AO73" s="80"/>
      <c r="AP73" s="78">
        <f t="shared" si="48"/>
        <v>0</v>
      </c>
      <c r="AQ73" s="80"/>
      <c r="AR73" s="78">
        <f t="shared" si="49"/>
        <v>0</v>
      </c>
      <c r="AS73" s="80"/>
      <c r="AT73" s="78">
        <f t="shared" si="50"/>
        <v>0</v>
      </c>
      <c r="AU73" s="80"/>
      <c r="AV73" s="78">
        <f t="shared" si="51"/>
        <v>0</v>
      </c>
      <c r="AW73" s="80"/>
      <c r="AX73" s="78">
        <f t="shared" si="52"/>
        <v>0</v>
      </c>
      <c r="AY73" s="80"/>
      <c r="AZ73" s="78">
        <f t="shared" si="53"/>
        <v>0</v>
      </c>
      <c r="BA73" s="80"/>
      <c r="BB73" s="78">
        <f t="shared" si="54"/>
        <v>0</v>
      </c>
      <c r="BC73" s="80"/>
      <c r="BD73" s="78">
        <f t="shared" si="55"/>
        <v>0</v>
      </c>
      <c r="BE73" s="80"/>
      <c r="BF73" s="78">
        <f t="shared" si="56"/>
        <v>0</v>
      </c>
      <c r="BG73" s="80"/>
      <c r="BH73" s="78">
        <f t="shared" si="57"/>
        <v>0</v>
      </c>
      <c r="BI73" s="80"/>
      <c r="BJ73" s="78">
        <f t="shared" si="58"/>
        <v>0</v>
      </c>
      <c r="BK73" s="80"/>
      <c r="BL73" s="78">
        <f t="shared" si="59"/>
        <v>0</v>
      </c>
      <c r="BM73" s="80"/>
      <c r="BN73" s="78">
        <f t="shared" si="60"/>
        <v>0</v>
      </c>
      <c r="BO73" s="80"/>
      <c r="BP73" s="78">
        <f t="shared" si="61"/>
        <v>0</v>
      </c>
      <c r="BQ73" s="80"/>
      <c r="BR73" s="78">
        <f t="shared" si="63"/>
        <v>0</v>
      </c>
      <c r="BS73" s="73"/>
      <c r="BT73" s="81">
        <f t="shared" si="62"/>
        <v>0</v>
      </c>
      <c r="BU73" s="81"/>
      <c r="BV73" s="84">
        <f>(H73*Z5*10.33)+(H73*AD5*0.03)</f>
        <v>1027.3203958333334</v>
      </c>
      <c r="BW73" s="81"/>
      <c r="BX73" s="81">
        <f t="shared" si="32"/>
        <v>9686.0572031249994</v>
      </c>
    </row>
    <row r="74" spans="1:76" s="82" customFormat="1" x14ac:dyDescent="0.3">
      <c r="A74" s="73">
        <v>63484</v>
      </c>
      <c r="B74" s="74" t="s">
        <v>161</v>
      </c>
      <c r="C74" s="74" t="s">
        <v>39</v>
      </c>
      <c r="D74" s="74" t="s">
        <v>162</v>
      </c>
      <c r="E74" s="74" t="str">
        <f>INDEX('[1]Branch code'!F:F,MATCH(D74,'[1]Branch code'!D:D,0))</f>
        <v xml:space="preserve"> Occhialli, Inc.</v>
      </c>
      <c r="F74" s="75" t="str">
        <f>INDEX('[1]Region rate'!B:B,MATCH(D74,'[1]Region rate'!A:A,0))</f>
        <v>NCR</v>
      </c>
      <c r="G74" s="76">
        <f>INDEX('[1]Region rate'!C:C,MATCH(F74,'[1]Region rate'!B:B,0))</f>
        <v>789.10576923076928</v>
      </c>
      <c r="H74" s="77">
        <f t="shared" si="33"/>
        <v>98.63822115384616</v>
      </c>
      <c r="I74" s="78"/>
      <c r="J74" s="78"/>
      <c r="K74" s="79"/>
      <c r="L74" s="79">
        <f>INDEX([1]Allowance!B:B,MATCH(F74,[1]Allowance!A:A,0))</f>
        <v>50</v>
      </c>
      <c r="M74" s="79"/>
      <c r="N74" s="79"/>
      <c r="O74" s="79"/>
      <c r="P74" s="79">
        <v>112</v>
      </c>
      <c r="Q74" s="78">
        <f t="shared" si="34"/>
        <v>11047.48076923077</v>
      </c>
      <c r="R74" s="78">
        <f t="shared" si="35"/>
        <v>700</v>
      </c>
      <c r="S74" s="78">
        <f t="shared" si="36"/>
        <v>0</v>
      </c>
      <c r="T74" s="78">
        <f t="shared" si="37"/>
        <v>0</v>
      </c>
      <c r="U74" s="79"/>
      <c r="V74" s="78">
        <f t="shared" si="38"/>
        <v>0</v>
      </c>
      <c r="W74" s="80">
        <v>0.02</v>
      </c>
      <c r="X74" s="80">
        <f t="shared" si="39"/>
        <v>1.9727644230769232</v>
      </c>
      <c r="Y74" s="79"/>
      <c r="Z74" s="78">
        <f t="shared" si="40"/>
        <v>0</v>
      </c>
      <c r="AA74" s="80"/>
      <c r="AB74" s="78">
        <f t="shared" si="41"/>
        <v>0</v>
      </c>
      <c r="AC74" s="79"/>
      <c r="AD74" s="78">
        <f t="shared" si="42"/>
        <v>0</v>
      </c>
      <c r="AE74" s="80"/>
      <c r="AF74" s="78">
        <f t="shared" si="43"/>
        <v>0</v>
      </c>
      <c r="AG74" s="79"/>
      <c r="AH74" s="78">
        <f t="shared" si="44"/>
        <v>0</v>
      </c>
      <c r="AI74" s="80"/>
      <c r="AJ74" s="78">
        <f t="shared" si="45"/>
        <v>0</v>
      </c>
      <c r="AK74" s="80"/>
      <c r="AL74" s="78">
        <f t="shared" si="46"/>
        <v>0</v>
      </c>
      <c r="AM74" s="80"/>
      <c r="AN74" s="78">
        <f t="shared" si="47"/>
        <v>0</v>
      </c>
      <c r="AO74" s="80"/>
      <c r="AP74" s="78">
        <f t="shared" si="48"/>
        <v>0</v>
      </c>
      <c r="AQ74" s="80"/>
      <c r="AR74" s="78">
        <f t="shared" si="49"/>
        <v>0</v>
      </c>
      <c r="AS74" s="80"/>
      <c r="AT74" s="78">
        <f t="shared" si="50"/>
        <v>0</v>
      </c>
      <c r="AU74" s="80"/>
      <c r="AV74" s="78">
        <f t="shared" si="51"/>
        <v>0</v>
      </c>
      <c r="AW74" s="80"/>
      <c r="AX74" s="78">
        <f t="shared" si="52"/>
        <v>0</v>
      </c>
      <c r="AY74" s="80"/>
      <c r="AZ74" s="78">
        <f t="shared" si="53"/>
        <v>0</v>
      </c>
      <c r="BA74" s="80"/>
      <c r="BB74" s="78">
        <f t="shared" si="54"/>
        <v>0</v>
      </c>
      <c r="BC74" s="80"/>
      <c r="BD74" s="78">
        <f t="shared" si="55"/>
        <v>0</v>
      </c>
      <c r="BE74" s="80"/>
      <c r="BF74" s="78">
        <f t="shared" si="56"/>
        <v>0</v>
      </c>
      <c r="BG74" s="80"/>
      <c r="BH74" s="78">
        <f t="shared" si="57"/>
        <v>0</v>
      </c>
      <c r="BI74" s="80"/>
      <c r="BJ74" s="78">
        <f t="shared" si="58"/>
        <v>0</v>
      </c>
      <c r="BK74" s="80"/>
      <c r="BL74" s="78">
        <f t="shared" si="59"/>
        <v>0</v>
      </c>
      <c r="BM74" s="80"/>
      <c r="BN74" s="78">
        <f t="shared" si="60"/>
        <v>0</v>
      </c>
      <c r="BO74" s="80"/>
      <c r="BP74" s="78">
        <f t="shared" si="61"/>
        <v>0</v>
      </c>
      <c r="BQ74" s="80"/>
      <c r="BR74" s="78">
        <f t="shared" si="63"/>
        <v>0</v>
      </c>
      <c r="BS74" s="73"/>
      <c r="BT74" s="81">
        <f t="shared" si="62"/>
        <v>0</v>
      </c>
      <c r="BU74" s="81"/>
      <c r="BV74" s="81"/>
      <c r="BW74" s="81"/>
      <c r="BX74" s="81">
        <f t="shared" si="32"/>
        <v>11045.508004807692</v>
      </c>
    </row>
    <row r="75" spans="1:76" s="82" customFormat="1" x14ac:dyDescent="0.3">
      <c r="A75" s="73">
        <v>37632</v>
      </c>
      <c r="B75" s="74" t="s">
        <v>163</v>
      </c>
      <c r="C75" s="74" t="s">
        <v>39</v>
      </c>
      <c r="D75" s="74" t="s">
        <v>164</v>
      </c>
      <c r="E75" s="74" t="str">
        <f>INDEX('[1]Branch code'!F:F,MATCH(D75,'[1]Branch code'!D:D,0))</f>
        <v xml:space="preserve"> Indigo Visions, Inc.</v>
      </c>
      <c r="F75" s="75">
        <f>INDEX('[1]Region rate'!B:B,MATCH(D75,'[1]Region rate'!A:A,0))</f>
        <v>3</v>
      </c>
      <c r="G75" s="76">
        <f>INDEX('[1]Region rate'!C:C,MATCH(F75,'[1]Region rate'!B:B,0))</f>
        <v>641.875</v>
      </c>
      <c r="H75" s="77">
        <f t="shared" si="33"/>
        <v>80.234375</v>
      </c>
      <c r="I75" s="78"/>
      <c r="J75" s="78"/>
      <c r="K75" s="79">
        <v>112</v>
      </c>
      <c r="L75" s="79">
        <f>INDEX([1]Allowance!B:B,MATCH(F75,[1]Allowance!A:A,0))</f>
        <v>120</v>
      </c>
      <c r="M75" s="79"/>
      <c r="N75" s="79"/>
      <c r="O75" s="79"/>
      <c r="P75" s="79"/>
      <c r="Q75" s="78">
        <f t="shared" si="34"/>
        <v>0</v>
      </c>
      <c r="R75" s="78">
        <f t="shared" si="35"/>
        <v>0</v>
      </c>
      <c r="S75" s="78">
        <f t="shared" si="36"/>
        <v>0</v>
      </c>
      <c r="T75" s="78">
        <f t="shared" si="37"/>
        <v>0</v>
      </c>
      <c r="U75" s="79"/>
      <c r="V75" s="78">
        <f t="shared" si="38"/>
        <v>0</v>
      </c>
      <c r="W75" s="80"/>
      <c r="X75" s="80">
        <f t="shared" si="39"/>
        <v>0</v>
      </c>
      <c r="Y75" s="79"/>
      <c r="Z75" s="78">
        <f t="shared" si="40"/>
        <v>0</v>
      </c>
      <c r="AA75" s="80"/>
      <c r="AB75" s="78">
        <f t="shared" si="41"/>
        <v>0</v>
      </c>
      <c r="AC75" s="79"/>
      <c r="AD75" s="78">
        <f t="shared" si="42"/>
        <v>0</v>
      </c>
      <c r="AE75" s="80"/>
      <c r="AF75" s="78">
        <f t="shared" si="43"/>
        <v>0</v>
      </c>
      <c r="AG75" s="79"/>
      <c r="AH75" s="78">
        <f t="shared" si="44"/>
        <v>0</v>
      </c>
      <c r="AI75" s="80"/>
      <c r="AJ75" s="78">
        <f t="shared" si="45"/>
        <v>0</v>
      </c>
      <c r="AK75" s="80"/>
      <c r="AL75" s="78">
        <f t="shared" si="46"/>
        <v>0</v>
      </c>
      <c r="AM75" s="80"/>
      <c r="AN75" s="78">
        <f t="shared" si="47"/>
        <v>0</v>
      </c>
      <c r="AO75" s="80"/>
      <c r="AP75" s="78">
        <f t="shared" si="48"/>
        <v>0</v>
      </c>
      <c r="AQ75" s="80"/>
      <c r="AR75" s="78">
        <f t="shared" si="49"/>
        <v>0</v>
      </c>
      <c r="AS75" s="80"/>
      <c r="AT75" s="78">
        <f t="shared" si="50"/>
        <v>0</v>
      </c>
      <c r="AU75" s="80"/>
      <c r="AV75" s="78">
        <f t="shared" si="51"/>
        <v>0</v>
      </c>
      <c r="AW75" s="80"/>
      <c r="AX75" s="78">
        <f t="shared" si="52"/>
        <v>0</v>
      </c>
      <c r="AY75" s="80"/>
      <c r="AZ75" s="78">
        <f t="shared" si="53"/>
        <v>0</v>
      </c>
      <c r="BA75" s="80"/>
      <c r="BB75" s="78">
        <f t="shared" si="54"/>
        <v>0</v>
      </c>
      <c r="BC75" s="80"/>
      <c r="BD75" s="78">
        <f t="shared" si="55"/>
        <v>0</v>
      </c>
      <c r="BE75" s="80"/>
      <c r="BF75" s="78">
        <f t="shared" si="56"/>
        <v>0</v>
      </c>
      <c r="BG75" s="80"/>
      <c r="BH75" s="78">
        <f t="shared" si="57"/>
        <v>0</v>
      </c>
      <c r="BI75" s="80"/>
      <c r="BJ75" s="78">
        <f t="shared" si="58"/>
        <v>0</v>
      </c>
      <c r="BK75" s="80"/>
      <c r="BL75" s="78">
        <f t="shared" si="59"/>
        <v>0</v>
      </c>
      <c r="BM75" s="80"/>
      <c r="BN75" s="78">
        <f t="shared" si="60"/>
        <v>0</v>
      </c>
      <c r="BO75" s="80"/>
      <c r="BP75" s="78">
        <f t="shared" si="61"/>
        <v>0</v>
      </c>
      <c r="BQ75" s="80"/>
      <c r="BR75" s="78">
        <f t="shared" si="63"/>
        <v>0</v>
      </c>
      <c r="BS75" s="73"/>
      <c r="BT75" s="81">
        <f t="shared" si="62"/>
        <v>0</v>
      </c>
      <c r="BU75" s="81"/>
      <c r="BV75" s="81"/>
      <c r="BW75" s="81"/>
      <c r="BX75" s="81">
        <f t="shared" si="32"/>
        <v>0</v>
      </c>
    </row>
    <row r="76" spans="1:76" s="82" customFormat="1" x14ac:dyDescent="0.3">
      <c r="A76" s="73">
        <v>63198</v>
      </c>
      <c r="B76" s="74" t="s">
        <v>165</v>
      </c>
      <c r="C76" s="74" t="s">
        <v>68</v>
      </c>
      <c r="D76" s="74" t="s">
        <v>166</v>
      </c>
      <c r="E76" s="74" t="str">
        <f>INDEX('[1]Branch code'!F:F,MATCH(D76,'[1]Branch code'!D:D,0))</f>
        <v xml:space="preserve"> Sight Testers, Inc.</v>
      </c>
      <c r="F76" s="75" t="str">
        <f>INDEX('[1]Region rate'!B:B,MATCH(D76,'[1]Region rate'!A:A,0))</f>
        <v>4A2</v>
      </c>
      <c r="G76" s="76">
        <f>INDEX('[1]Region rate'!C:C,MATCH(F76,'[1]Region rate'!B:B,0))</f>
        <v>636.33333333333337</v>
      </c>
      <c r="H76" s="77">
        <f t="shared" si="33"/>
        <v>79.541666666666671</v>
      </c>
      <c r="I76" s="78">
        <v>0.38</v>
      </c>
      <c r="J76" s="78"/>
      <c r="K76" s="79"/>
      <c r="L76" s="79">
        <f>INDEX([1]Allowance!B:B,MATCH(F76,[1]Allowance!A:A,0))</f>
        <v>125</v>
      </c>
      <c r="M76" s="79">
        <v>38.46</v>
      </c>
      <c r="N76" s="79"/>
      <c r="O76" s="79"/>
      <c r="P76" s="79">
        <v>111.62</v>
      </c>
      <c r="Q76" s="78">
        <f t="shared" si="34"/>
        <v>8878.440833333334</v>
      </c>
      <c r="R76" s="78">
        <f t="shared" si="35"/>
        <v>1744.0625</v>
      </c>
      <c r="S76" s="78">
        <f t="shared" si="36"/>
        <v>536.61315000000002</v>
      </c>
      <c r="T76" s="78">
        <f t="shared" si="37"/>
        <v>0</v>
      </c>
      <c r="U76" s="79"/>
      <c r="V76" s="78">
        <f t="shared" si="38"/>
        <v>0</v>
      </c>
      <c r="W76" s="80"/>
      <c r="X76" s="80">
        <f t="shared" si="39"/>
        <v>0</v>
      </c>
      <c r="Y76" s="79">
        <v>5.5</v>
      </c>
      <c r="Z76" s="78">
        <f t="shared" si="40"/>
        <v>546.84895833333337</v>
      </c>
      <c r="AA76" s="80"/>
      <c r="AB76" s="78">
        <f t="shared" si="41"/>
        <v>0</v>
      </c>
      <c r="AC76" s="79"/>
      <c r="AD76" s="78">
        <f t="shared" si="42"/>
        <v>0</v>
      </c>
      <c r="AE76" s="80"/>
      <c r="AF76" s="78">
        <f t="shared" si="43"/>
        <v>0</v>
      </c>
      <c r="AG76" s="79"/>
      <c r="AH76" s="78">
        <f t="shared" si="44"/>
        <v>0</v>
      </c>
      <c r="AI76" s="80"/>
      <c r="AJ76" s="78">
        <f t="shared" si="45"/>
        <v>0</v>
      </c>
      <c r="AK76" s="80"/>
      <c r="AL76" s="78">
        <f t="shared" si="46"/>
        <v>0</v>
      </c>
      <c r="AM76" s="80"/>
      <c r="AN76" s="78">
        <f t="shared" si="47"/>
        <v>0</v>
      </c>
      <c r="AO76" s="80"/>
      <c r="AP76" s="78">
        <f t="shared" si="48"/>
        <v>0</v>
      </c>
      <c r="AQ76" s="80"/>
      <c r="AR76" s="78">
        <f t="shared" si="49"/>
        <v>0</v>
      </c>
      <c r="AS76" s="80"/>
      <c r="AT76" s="78">
        <f t="shared" si="50"/>
        <v>0</v>
      </c>
      <c r="AU76" s="80"/>
      <c r="AV76" s="78">
        <f t="shared" si="51"/>
        <v>0</v>
      </c>
      <c r="AW76" s="80"/>
      <c r="AX76" s="78">
        <f t="shared" si="52"/>
        <v>0</v>
      </c>
      <c r="AY76" s="80"/>
      <c r="AZ76" s="78">
        <f t="shared" si="53"/>
        <v>0</v>
      </c>
      <c r="BA76" s="80"/>
      <c r="BB76" s="78">
        <f t="shared" si="54"/>
        <v>0</v>
      </c>
      <c r="BC76" s="80"/>
      <c r="BD76" s="78">
        <f t="shared" si="55"/>
        <v>0</v>
      </c>
      <c r="BE76" s="80"/>
      <c r="BF76" s="78">
        <f t="shared" si="56"/>
        <v>0</v>
      </c>
      <c r="BG76" s="80"/>
      <c r="BH76" s="78">
        <f t="shared" si="57"/>
        <v>0</v>
      </c>
      <c r="BI76" s="80"/>
      <c r="BJ76" s="78">
        <f t="shared" si="58"/>
        <v>0</v>
      </c>
      <c r="BK76" s="80"/>
      <c r="BL76" s="78">
        <f t="shared" si="59"/>
        <v>0</v>
      </c>
      <c r="BM76" s="80"/>
      <c r="BN76" s="78">
        <f t="shared" si="60"/>
        <v>0</v>
      </c>
      <c r="BO76" s="80"/>
      <c r="BP76" s="78">
        <f t="shared" si="61"/>
        <v>0</v>
      </c>
      <c r="BQ76" s="80"/>
      <c r="BR76" s="78">
        <f t="shared" si="63"/>
        <v>0</v>
      </c>
      <c r="BS76" s="73"/>
      <c r="BT76" s="81">
        <f t="shared" si="62"/>
        <v>0</v>
      </c>
      <c r="BU76" s="81"/>
      <c r="BV76" s="81"/>
      <c r="BW76" s="81"/>
      <c r="BX76" s="81">
        <f t="shared" si="32"/>
        <v>9425.289791666668</v>
      </c>
    </row>
    <row r="77" spans="1:76" s="82" customFormat="1" x14ac:dyDescent="0.3">
      <c r="A77" s="73">
        <v>64376</v>
      </c>
      <c r="B77" s="74" t="s">
        <v>167</v>
      </c>
      <c r="C77" s="74" t="s">
        <v>39</v>
      </c>
      <c r="D77" s="74" t="s">
        <v>168</v>
      </c>
      <c r="E77" s="74" t="str">
        <f>INDEX('[1]Branch code'!F:F,MATCH(D77,'[1]Branch code'!D:D,0))</f>
        <v xml:space="preserve"> Executive Optical, Inc.</v>
      </c>
      <c r="F77" s="75" t="str">
        <f>INDEX('[1]Region rate'!B:B,MATCH(D77,'[1]Region rate'!A:A,0))</f>
        <v>4A1</v>
      </c>
      <c r="G77" s="76">
        <f>INDEX('[1]Region rate'!C:C,MATCH(F77,'[1]Region rate'!B:B,0))</f>
        <v>684.51282051282044</v>
      </c>
      <c r="H77" s="77">
        <f t="shared" si="33"/>
        <v>85.564102564102555</v>
      </c>
      <c r="I77" s="78">
        <v>0.51</v>
      </c>
      <c r="J77" s="78">
        <v>7</v>
      </c>
      <c r="K77" s="79">
        <v>48</v>
      </c>
      <c r="L77" s="79">
        <f>INDEX([1]Allowance!B:B,MATCH(F77,[1]Allowance!A:A,0))</f>
        <v>85</v>
      </c>
      <c r="M77" s="79"/>
      <c r="N77" s="79"/>
      <c r="O77" s="79"/>
      <c r="P77" s="79">
        <v>56.49</v>
      </c>
      <c r="Q77" s="78">
        <f t="shared" si="34"/>
        <v>4833.5161538461534</v>
      </c>
      <c r="R77" s="78">
        <f t="shared" si="35"/>
        <v>600.20625000000007</v>
      </c>
      <c r="S77" s="78">
        <f t="shared" si="36"/>
        <v>0</v>
      </c>
      <c r="T77" s="78">
        <f t="shared" si="37"/>
        <v>0</v>
      </c>
      <c r="U77" s="79"/>
      <c r="V77" s="78">
        <f t="shared" si="38"/>
        <v>0</v>
      </c>
      <c r="W77" s="80"/>
      <c r="X77" s="80">
        <f t="shared" si="39"/>
        <v>0</v>
      </c>
      <c r="Y77" s="79"/>
      <c r="Z77" s="78">
        <f t="shared" si="40"/>
        <v>0</v>
      </c>
      <c r="AA77" s="80"/>
      <c r="AB77" s="78">
        <f t="shared" si="41"/>
        <v>0</v>
      </c>
      <c r="AC77" s="79"/>
      <c r="AD77" s="78">
        <f t="shared" si="42"/>
        <v>0</v>
      </c>
      <c r="AE77" s="80"/>
      <c r="AF77" s="78">
        <f t="shared" si="43"/>
        <v>0</v>
      </c>
      <c r="AG77" s="79"/>
      <c r="AH77" s="78">
        <f t="shared" si="44"/>
        <v>0</v>
      </c>
      <c r="AI77" s="80"/>
      <c r="AJ77" s="78">
        <f t="shared" si="45"/>
        <v>0</v>
      </c>
      <c r="AK77" s="80"/>
      <c r="AL77" s="78">
        <f t="shared" si="46"/>
        <v>0</v>
      </c>
      <c r="AM77" s="80"/>
      <c r="AN77" s="78">
        <f t="shared" si="47"/>
        <v>0</v>
      </c>
      <c r="AO77" s="80"/>
      <c r="AP77" s="78">
        <f t="shared" si="48"/>
        <v>0</v>
      </c>
      <c r="AQ77" s="80"/>
      <c r="AR77" s="78">
        <f t="shared" si="49"/>
        <v>0</v>
      </c>
      <c r="AS77" s="80"/>
      <c r="AT77" s="78">
        <f t="shared" si="50"/>
        <v>0</v>
      </c>
      <c r="AU77" s="80"/>
      <c r="AV77" s="78">
        <f t="shared" si="51"/>
        <v>0</v>
      </c>
      <c r="AW77" s="80"/>
      <c r="AX77" s="78">
        <f t="shared" si="52"/>
        <v>0</v>
      </c>
      <c r="AY77" s="80"/>
      <c r="AZ77" s="78">
        <f t="shared" si="53"/>
        <v>0</v>
      </c>
      <c r="BA77" s="80"/>
      <c r="BB77" s="78">
        <f t="shared" si="54"/>
        <v>0</v>
      </c>
      <c r="BC77" s="80"/>
      <c r="BD77" s="78">
        <f t="shared" si="55"/>
        <v>0</v>
      </c>
      <c r="BE77" s="80"/>
      <c r="BF77" s="78">
        <f t="shared" si="56"/>
        <v>0</v>
      </c>
      <c r="BG77" s="80"/>
      <c r="BH77" s="78">
        <f t="shared" si="57"/>
        <v>0</v>
      </c>
      <c r="BI77" s="80"/>
      <c r="BJ77" s="78">
        <f t="shared" si="58"/>
        <v>0</v>
      </c>
      <c r="BK77" s="80"/>
      <c r="BL77" s="78">
        <f t="shared" si="59"/>
        <v>0</v>
      </c>
      <c r="BM77" s="80"/>
      <c r="BN77" s="78">
        <f t="shared" si="60"/>
        <v>0</v>
      </c>
      <c r="BO77" s="80"/>
      <c r="BP77" s="78">
        <f t="shared" si="61"/>
        <v>0</v>
      </c>
      <c r="BQ77" s="80"/>
      <c r="BR77" s="78">
        <f t="shared" si="63"/>
        <v>0</v>
      </c>
      <c r="BS77" s="73"/>
      <c r="BT77" s="81">
        <f t="shared" si="62"/>
        <v>0</v>
      </c>
      <c r="BU77" s="81"/>
      <c r="BV77" s="81"/>
      <c r="BW77" s="81"/>
      <c r="BX77" s="81">
        <f t="shared" si="32"/>
        <v>4833.5161538461534</v>
      </c>
    </row>
    <row r="78" spans="1:76" s="82" customFormat="1" x14ac:dyDescent="0.3">
      <c r="A78" s="73">
        <v>51315</v>
      </c>
      <c r="B78" s="74" t="s">
        <v>169</v>
      </c>
      <c r="C78" s="74" t="s">
        <v>44</v>
      </c>
      <c r="D78" s="74" t="s">
        <v>168</v>
      </c>
      <c r="E78" s="74" t="str">
        <f>INDEX('[1]Branch code'!F:F,MATCH(D78,'[1]Branch code'!D:D,0))</f>
        <v xml:space="preserve"> Executive Optical, Inc.</v>
      </c>
      <c r="F78" s="75" t="str">
        <f>INDEX('[1]Region rate'!B:B,MATCH(D78,'[1]Region rate'!A:A,0))</f>
        <v>4A1</v>
      </c>
      <c r="G78" s="76">
        <v>845.38</v>
      </c>
      <c r="H78" s="77">
        <f t="shared" si="33"/>
        <v>105.6725</v>
      </c>
      <c r="I78" s="78">
        <v>0.2</v>
      </c>
      <c r="J78" s="78"/>
      <c r="K78" s="79"/>
      <c r="L78" s="79">
        <v>153.84</v>
      </c>
      <c r="M78" s="79"/>
      <c r="N78" s="79"/>
      <c r="O78" s="79"/>
      <c r="P78" s="79">
        <v>111.8</v>
      </c>
      <c r="Q78" s="78">
        <f t="shared" si="34"/>
        <v>11814.1855</v>
      </c>
      <c r="R78" s="78">
        <f t="shared" si="35"/>
        <v>2149.9140000000002</v>
      </c>
      <c r="S78" s="78">
        <f t="shared" si="36"/>
        <v>0</v>
      </c>
      <c r="T78" s="78">
        <f t="shared" si="37"/>
        <v>0</v>
      </c>
      <c r="U78" s="79"/>
      <c r="V78" s="78">
        <f t="shared" si="38"/>
        <v>0</v>
      </c>
      <c r="W78" s="80"/>
      <c r="X78" s="80">
        <f t="shared" si="39"/>
        <v>0</v>
      </c>
      <c r="Y78" s="79">
        <v>17.149999999999999</v>
      </c>
      <c r="Z78" s="78">
        <f t="shared" si="40"/>
        <v>2265.3542187499997</v>
      </c>
      <c r="AA78" s="80"/>
      <c r="AB78" s="78">
        <f t="shared" si="41"/>
        <v>0</v>
      </c>
      <c r="AC78" s="79">
        <v>7</v>
      </c>
      <c r="AD78" s="78">
        <f t="shared" si="42"/>
        <v>73.97075000000001</v>
      </c>
      <c r="AE78" s="80"/>
      <c r="AF78" s="78">
        <f t="shared" si="43"/>
        <v>0</v>
      </c>
      <c r="AG78" s="79"/>
      <c r="AH78" s="78">
        <f t="shared" si="44"/>
        <v>0</v>
      </c>
      <c r="AI78" s="80"/>
      <c r="AJ78" s="78">
        <f t="shared" si="45"/>
        <v>0</v>
      </c>
      <c r="AK78" s="80"/>
      <c r="AL78" s="78">
        <f t="shared" si="46"/>
        <v>0</v>
      </c>
      <c r="AM78" s="80"/>
      <c r="AN78" s="78">
        <f t="shared" si="47"/>
        <v>0</v>
      </c>
      <c r="AO78" s="80"/>
      <c r="AP78" s="78">
        <f t="shared" si="48"/>
        <v>0</v>
      </c>
      <c r="AQ78" s="80"/>
      <c r="AR78" s="78">
        <f t="shared" si="49"/>
        <v>0</v>
      </c>
      <c r="AS78" s="80"/>
      <c r="AT78" s="78">
        <f t="shared" si="50"/>
        <v>0</v>
      </c>
      <c r="AU78" s="80"/>
      <c r="AV78" s="78">
        <f t="shared" si="51"/>
        <v>0</v>
      </c>
      <c r="AW78" s="80"/>
      <c r="AX78" s="78">
        <f t="shared" si="52"/>
        <v>0</v>
      </c>
      <c r="AY78" s="80"/>
      <c r="AZ78" s="78">
        <f t="shared" si="53"/>
        <v>0</v>
      </c>
      <c r="BA78" s="80"/>
      <c r="BB78" s="78">
        <f t="shared" si="54"/>
        <v>0</v>
      </c>
      <c r="BC78" s="80"/>
      <c r="BD78" s="78">
        <f t="shared" si="55"/>
        <v>0</v>
      </c>
      <c r="BE78" s="80"/>
      <c r="BF78" s="78">
        <f t="shared" si="56"/>
        <v>0</v>
      </c>
      <c r="BG78" s="80"/>
      <c r="BH78" s="78">
        <f t="shared" si="57"/>
        <v>0</v>
      </c>
      <c r="BI78" s="80"/>
      <c r="BJ78" s="78">
        <f t="shared" si="58"/>
        <v>0</v>
      </c>
      <c r="BK78" s="80"/>
      <c r="BL78" s="78">
        <f t="shared" si="59"/>
        <v>0</v>
      </c>
      <c r="BM78" s="80"/>
      <c r="BN78" s="78">
        <f t="shared" si="60"/>
        <v>0</v>
      </c>
      <c r="BO78" s="80"/>
      <c r="BP78" s="78">
        <f t="shared" si="61"/>
        <v>0</v>
      </c>
      <c r="BQ78" s="80"/>
      <c r="BR78" s="78">
        <f t="shared" si="63"/>
        <v>0</v>
      </c>
      <c r="BS78" s="73"/>
      <c r="BT78" s="81">
        <f t="shared" si="62"/>
        <v>0</v>
      </c>
      <c r="BU78" s="81"/>
      <c r="BV78" s="81"/>
      <c r="BW78" s="81"/>
      <c r="BX78" s="81">
        <f t="shared" si="32"/>
        <v>14153.510468749999</v>
      </c>
    </row>
    <row r="79" spans="1:76" s="82" customFormat="1" x14ac:dyDescent="0.3">
      <c r="A79" s="73">
        <v>64232</v>
      </c>
      <c r="B79" s="74" t="s">
        <v>170</v>
      </c>
      <c r="C79" s="74" t="s">
        <v>60</v>
      </c>
      <c r="D79" s="74" t="s">
        <v>171</v>
      </c>
      <c r="E79" s="74" t="str">
        <f>INDEX('[1]Branch code'!F:F,MATCH(D79,'[1]Branch code'!D:D,0))</f>
        <v xml:space="preserve"> Sight Testers, Inc.</v>
      </c>
      <c r="F79" s="75" t="str">
        <f>INDEX('[1]Region rate'!B:B,MATCH(D79,'[1]Region rate'!A:A,0))</f>
        <v>4A1</v>
      </c>
      <c r="G79" s="76">
        <f>INDEX('[1]Region rate'!C:C,MATCH(F79,'[1]Region rate'!B:B,0))</f>
        <v>684.51282051282044</v>
      </c>
      <c r="H79" s="77">
        <f t="shared" si="33"/>
        <v>85.564102564102555</v>
      </c>
      <c r="I79" s="78">
        <v>3.08</v>
      </c>
      <c r="J79" s="78"/>
      <c r="K79" s="79">
        <v>72</v>
      </c>
      <c r="L79" s="79">
        <f>INDEX([1]Allowance!B:B,MATCH(F79,[1]Allowance!A:A,0))</f>
        <v>85</v>
      </c>
      <c r="M79" s="79"/>
      <c r="N79" s="79"/>
      <c r="O79" s="79"/>
      <c r="P79" s="79">
        <v>28.92</v>
      </c>
      <c r="Q79" s="78">
        <f t="shared" si="34"/>
        <v>2474.5138461538459</v>
      </c>
      <c r="R79" s="78">
        <f t="shared" si="35"/>
        <v>307.27500000000003</v>
      </c>
      <c r="S79" s="78">
        <f t="shared" si="36"/>
        <v>0</v>
      </c>
      <c r="T79" s="78">
        <f t="shared" si="37"/>
        <v>0</v>
      </c>
      <c r="U79" s="79"/>
      <c r="V79" s="78">
        <f t="shared" si="38"/>
        <v>0</v>
      </c>
      <c r="W79" s="80"/>
      <c r="X79" s="80">
        <f t="shared" si="39"/>
        <v>0</v>
      </c>
      <c r="Y79" s="79">
        <v>3.9</v>
      </c>
      <c r="Z79" s="78">
        <f t="shared" si="40"/>
        <v>417.12499999999994</v>
      </c>
      <c r="AA79" s="80"/>
      <c r="AB79" s="78">
        <f t="shared" si="41"/>
        <v>0</v>
      </c>
      <c r="AC79" s="79"/>
      <c r="AD79" s="78">
        <f t="shared" si="42"/>
        <v>0</v>
      </c>
      <c r="AE79" s="80"/>
      <c r="AF79" s="78">
        <f t="shared" si="43"/>
        <v>0</v>
      </c>
      <c r="AG79" s="79"/>
      <c r="AH79" s="78">
        <f t="shared" si="44"/>
        <v>0</v>
      </c>
      <c r="AI79" s="80"/>
      <c r="AJ79" s="78">
        <f t="shared" si="45"/>
        <v>0</v>
      </c>
      <c r="AK79" s="80"/>
      <c r="AL79" s="78">
        <f t="shared" si="46"/>
        <v>0</v>
      </c>
      <c r="AM79" s="80"/>
      <c r="AN79" s="78">
        <f t="shared" si="47"/>
        <v>0</v>
      </c>
      <c r="AO79" s="80"/>
      <c r="AP79" s="78">
        <f t="shared" si="48"/>
        <v>0</v>
      </c>
      <c r="AQ79" s="80"/>
      <c r="AR79" s="78">
        <f t="shared" si="49"/>
        <v>0</v>
      </c>
      <c r="AS79" s="80"/>
      <c r="AT79" s="78">
        <f t="shared" si="50"/>
        <v>0</v>
      </c>
      <c r="AU79" s="80"/>
      <c r="AV79" s="78">
        <f t="shared" si="51"/>
        <v>0</v>
      </c>
      <c r="AW79" s="80"/>
      <c r="AX79" s="78">
        <f t="shared" si="52"/>
        <v>0</v>
      </c>
      <c r="AY79" s="80"/>
      <c r="AZ79" s="78">
        <f t="shared" si="53"/>
        <v>0</v>
      </c>
      <c r="BA79" s="80"/>
      <c r="BB79" s="78">
        <f t="shared" si="54"/>
        <v>0</v>
      </c>
      <c r="BC79" s="80"/>
      <c r="BD79" s="78">
        <f t="shared" si="55"/>
        <v>0</v>
      </c>
      <c r="BE79" s="80"/>
      <c r="BF79" s="78">
        <f t="shared" si="56"/>
        <v>0</v>
      </c>
      <c r="BG79" s="80"/>
      <c r="BH79" s="78">
        <f t="shared" si="57"/>
        <v>0</v>
      </c>
      <c r="BI79" s="80"/>
      <c r="BJ79" s="78">
        <f t="shared" si="58"/>
        <v>0</v>
      </c>
      <c r="BK79" s="80"/>
      <c r="BL79" s="78">
        <f t="shared" si="59"/>
        <v>0</v>
      </c>
      <c r="BM79" s="80"/>
      <c r="BN79" s="78">
        <f t="shared" si="60"/>
        <v>0</v>
      </c>
      <c r="BO79" s="80"/>
      <c r="BP79" s="78">
        <f t="shared" si="61"/>
        <v>0</v>
      </c>
      <c r="BQ79" s="80"/>
      <c r="BR79" s="78">
        <f t="shared" si="63"/>
        <v>0</v>
      </c>
      <c r="BS79" s="73"/>
      <c r="BT79" s="81">
        <f t="shared" si="62"/>
        <v>0</v>
      </c>
      <c r="BU79" s="81"/>
      <c r="BV79" s="81"/>
      <c r="BW79" s="81"/>
      <c r="BX79" s="81">
        <f t="shared" si="32"/>
        <v>2891.6388461538459</v>
      </c>
    </row>
    <row r="80" spans="1:76" s="82" customFormat="1" x14ac:dyDescent="0.3">
      <c r="A80" s="73">
        <v>63175</v>
      </c>
      <c r="B80" s="74" t="s">
        <v>172</v>
      </c>
      <c r="C80" s="74" t="s">
        <v>68</v>
      </c>
      <c r="D80" s="74" t="s">
        <v>173</v>
      </c>
      <c r="E80" s="74" t="str">
        <f>INDEX('[1]Branch code'!F:F,MATCH(D80,'[1]Branch code'!D:D,0))</f>
        <v xml:space="preserve"> Executive Optical, Inc.</v>
      </c>
      <c r="F80" s="75">
        <f>INDEX('[1]Region rate'!B:B,MATCH(D80,'[1]Region rate'!A:A,0))</f>
        <v>11</v>
      </c>
      <c r="G80" s="76">
        <f>INDEX('[1]Region rate'!C:C,MATCH(F80,'[1]Region rate'!B:B,0))</f>
        <v>589.26217948717954</v>
      </c>
      <c r="H80" s="77">
        <f t="shared" si="33"/>
        <v>73.657772435897442</v>
      </c>
      <c r="I80" s="78"/>
      <c r="J80" s="78">
        <v>4</v>
      </c>
      <c r="K80" s="79"/>
      <c r="L80" s="79">
        <f>INDEX([1]Allowance!B:B,MATCH(F80,[1]Allowance!A:A,0))</f>
        <v>164</v>
      </c>
      <c r="M80" s="79">
        <v>38.46</v>
      </c>
      <c r="N80" s="79"/>
      <c r="O80" s="79"/>
      <c r="P80" s="79">
        <v>108</v>
      </c>
      <c r="Q80" s="78">
        <f t="shared" si="34"/>
        <v>7955.0394230769234</v>
      </c>
      <c r="R80" s="78">
        <f t="shared" si="35"/>
        <v>2214</v>
      </c>
      <c r="S80" s="78">
        <f t="shared" si="36"/>
        <v>519.21</v>
      </c>
      <c r="T80" s="78">
        <f t="shared" si="37"/>
        <v>0</v>
      </c>
      <c r="U80" s="79">
        <v>1.5</v>
      </c>
      <c r="V80" s="78">
        <f t="shared" si="38"/>
        <v>11.048665865384617</v>
      </c>
      <c r="W80" s="80">
        <v>0.34</v>
      </c>
      <c r="X80" s="80">
        <f t="shared" si="39"/>
        <v>25.043642628205131</v>
      </c>
      <c r="Y80" s="79"/>
      <c r="Z80" s="78">
        <f t="shared" si="40"/>
        <v>0</v>
      </c>
      <c r="AA80" s="80"/>
      <c r="AB80" s="78">
        <f t="shared" si="41"/>
        <v>0</v>
      </c>
      <c r="AC80" s="79"/>
      <c r="AD80" s="78">
        <f t="shared" si="42"/>
        <v>0</v>
      </c>
      <c r="AE80" s="80"/>
      <c r="AF80" s="78">
        <f t="shared" si="43"/>
        <v>0</v>
      </c>
      <c r="AG80" s="79"/>
      <c r="AH80" s="78">
        <f t="shared" si="44"/>
        <v>0</v>
      </c>
      <c r="AI80" s="80"/>
      <c r="AJ80" s="78">
        <f t="shared" si="45"/>
        <v>0</v>
      </c>
      <c r="AK80" s="80"/>
      <c r="AL80" s="78">
        <f t="shared" si="46"/>
        <v>0</v>
      </c>
      <c r="AM80" s="80"/>
      <c r="AN80" s="78">
        <f t="shared" si="47"/>
        <v>0</v>
      </c>
      <c r="AO80" s="80"/>
      <c r="AP80" s="78">
        <f t="shared" si="48"/>
        <v>0</v>
      </c>
      <c r="AQ80" s="80"/>
      <c r="AR80" s="78">
        <f t="shared" si="49"/>
        <v>0</v>
      </c>
      <c r="AS80" s="80"/>
      <c r="AT80" s="78">
        <f t="shared" si="50"/>
        <v>0</v>
      </c>
      <c r="AU80" s="80"/>
      <c r="AV80" s="78">
        <f t="shared" si="51"/>
        <v>0</v>
      </c>
      <c r="AW80" s="80"/>
      <c r="AX80" s="78">
        <f t="shared" si="52"/>
        <v>0</v>
      </c>
      <c r="AY80" s="80"/>
      <c r="AZ80" s="78">
        <f t="shared" si="53"/>
        <v>0</v>
      </c>
      <c r="BA80" s="80"/>
      <c r="BB80" s="78">
        <f t="shared" si="54"/>
        <v>0</v>
      </c>
      <c r="BC80" s="80"/>
      <c r="BD80" s="78">
        <f t="shared" si="55"/>
        <v>0</v>
      </c>
      <c r="BE80" s="80"/>
      <c r="BF80" s="78">
        <f t="shared" si="56"/>
        <v>0</v>
      </c>
      <c r="BG80" s="80"/>
      <c r="BH80" s="78">
        <f t="shared" si="57"/>
        <v>0</v>
      </c>
      <c r="BI80" s="80"/>
      <c r="BJ80" s="78">
        <f t="shared" si="58"/>
        <v>0</v>
      </c>
      <c r="BK80" s="80"/>
      <c r="BL80" s="78">
        <f t="shared" si="59"/>
        <v>0</v>
      </c>
      <c r="BM80" s="80"/>
      <c r="BN80" s="78">
        <f t="shared" si="60"/>
        <v>0</v>
      </c>
      <c r="BO80" s="80"/>
      <c r="BP80" s="78">
        <f t="shared" si="61"/>
        <v>0</v>
      </c>
      <c r="BQ80" s="80"/>
      <c r="BR80" s="78">
        <f t="shared" si="63"/>
        <v>0</v>
      </c>
      <c r="BS80" s="73"/>
      <c r="BT80" s="81">
        <f t="shared" si="62"/>
        <v>0</v>
      </c>
      <c r="BU80" s="81"/>
      <c r="BV80" s="81"/>
      <c r="BW80" s="81"/>
      <c r="BX80" s="81">
        <f t="shared" si="32"/>
        <v>7941.044446314103</v>
      </c>
    </row>
    <row r="81" spans="1:76" s="82" customFormat="1" x14ac:dyDescent="0.3">
      <c r="A81" s="73">
        <v>51445</v>
      </c>
      <c r="B81" s="74" t="s">
        <v>174</v>
      </c>
      <c r="C81" s="74" t="s">
        <v>44</v>
      </c>
      <c r="D81" s="74" t="s">
        <v>175</v>
      </c>
      <c r="E81" s="74" t="str">
        <f>INDEX('[1]Branch code'!F:F,MATCH(D81,'[1]Branch code'!D:D,0))</f>
        <v xml:space="preserve"> Occhialli, Inc.</v>
      </c>
      <c r="F81" s="75">
        <f>INDEX('[1]Region rate'!B:B,MATCH(D81,'[1]Region rate'!A:A,0))</f>
        <v>12</v>
      </c>
      <c r="G81" s="76">
        <v>845.38</v>
      </c>
      <c r="H81" s="77">
        <f t="shared" si="33"/>
        <v>105.6725</v>
      </c>
      <c r="I81" s="78"/>
      <c r="J81" s="78"/>
      <c r="K81" s="79"/>
      <c r="L81" s="79">
        <v>153.84</v>
      </c>
      <c r="M81" s="79"/>
      <c r="N81" s="79"/>
      <c r="O81" s="79">
        <v>16</v>
      </c>
      <c r="P81" s="79">
        <v>96</v>
      </c>
      <c r="Q81" s="78">
        <f t="shared" si="34"/>
        <v>11835.32</v>
      </c>
      <c r="R81" s="78">
        <f t="shared" si="35"/>
        <v>2153.7600000000002</v>
      </c>
      <c r="S81" s="78">
        <f t="shared" si="36"/>
        <v>0</v>
      </c>
      <c r="T81" s="78">
        <f t="shared" si="37"/>
        <v>0</v>
      </c>
      <c r="U81" s="79"/>
      <c r="V81" s="78">
        <f t="shared" si="38"/>
        <v>0</v>
      </c>
      <c r="W81" s="80">
        <v>1.45</v>
      </c>
      <c r="X81" s="80">
        <f t="shared" si="39"/>
        <v>153.22512499999999</v>
      </c>
      <c r="Y81" s="79"/>
      <c r="Z81" s="78">
        <f t="shared" si="40"/>
        <v>0</v>
      </c>
      <c r="AA81" s="80"/>
      <c r="AB81" s="78">
        <f t="shared" si="41"/>
        <v>0</v>
      </c>
      <c r="AC81" s="79"/>
      <c r="AD81" s="78">
        <f t="shared" si="42"/>
        <v>0</v>
      </c>
      <c r="AE81" s="80"/>
      <c r="AF81" s="78">
        <f t="shared" si="43"/>
        <v>0</v>
      </c>
      <c r="AG81" s="79"/>
      <c r="AH81" s="78">
        <f t="shared" si="44"/>
        <v>0</v>
      </c>
      <c r="AI81" s="80"/>
      <c r="AJ81" s="78">
        <f t="shared" si="45"/>
        <v>0</v>
      </c>
      <c r="AK81" s="80"/>
      <c r="AL81" s="78">
        <f t="shared" si="46"/>
        <v>0</v>
      </c>
      <c r="AM81" s="80"/>
      <c r="AN81" s="78">
        <f t="shared" si="47"/>
        <v>0</v>
      </c>
      <c r="AO81" s="80"/>
      <c r="AP81" s="78">
        <f t="shared" si="48"/>
        <v>0</v>
      </c>
      <c r="AQ81" s="80"/>
      <c r="AR81" s="78">
        <f t="shared" si="49"/>
        <v>0</v>
      </c>
      <c r="AS81" s="80"/>
      <c r="AT81" s="78">
        <f t="shared" si="50"/>
        <v>0</v>
      </c>
      <c r="AU81" s="80"/>
      <c r="AV81" s="78">
        <f t="shared" si="51"/>
        <v>0</v>
      </c>
      <c r="AW81" s="80"/>
      <c r="AX81" s="78">
        <f t="shared" si="52"/>
        <v>0</v>
      </c>
      <c r="AY81" s="80"/>
      <c r="AZ81" s="78">
        <f t="shared" si="53"/>
        <v>0</v>
      </c>
      <c r="BA81" s="80"/>
      <c r="BB81" s="78">
        <f t="shared" si="54"/>
        <v>0</v>
      </c>
      <c r="BC81" s="80"/>
      <c r="BD81" s="78">
        <f t="shared" si="55"/>
        <v>0</v>
      </c>
      <c r="BE81" s="80"/>
      <c r="BF81" s="78">
        <f t="shared" si="56"/>
        <v>0</v>
      </c>
      <c r="BG81" s="80"/>
      <c r="BH81" s="78">
        <f t="shared" si="57"/>
        <v>0</v>
      </c>
      <c r="BI81" s="80"/>
      <c r="BJ81" s="78">
        <f t="shared" si="58"/>
        <v>0</v>
      </c>
      <c r="BK81" s="80"/>
      <c r="BL81" s="78">
        <f t="shared" si="59"/>
        <v>0</v>
      </c>
      <c r="BM81" s="80"/>
      <c r="BN81" s="78">
        <f t="shared" si="60"/>
        <v>0</v>
      </c>
      <c r="BO81" s="80"/>
      <c r="BP81" s="78">
        <f t="shared" si="61"/>
        <v>0</v>
      </c>
      <c r="BQ81" s="80"/>
      <c r="BR81" s="78">
        <f t="shared" si="63"/>
        <v>0</v>
      </c>
      <c r="BS81" s="73"/>
      <c r="BT81" s="81">
        <f t="shared" si="62"/>
        <v>0</v>
      </c>
      <c r="BU81" s="81"/>
      <c r="BV81" s="81"/>
      <c r="BW81" s="81"/>
      <c r="BX81" s="81">
        <f t="shared" si="32"/>
        <v>11682.094874999999</v>
      </c>
    </row>
    <row r="82" spans="1:76" s="82" customFormat="1" x14ac:dyDescent="0.3">
      <c r="A82" s="73">
        <v>63275</v>
      </c>
      <c r="B82" s="74" t="s">
        <v>176</v>
      </c>
      <c r="C82" s="74" t="s">
        <v>68</v>
      </c>
      <c r="D82" s="74" t="s">
        <v>175</v>
      </c>
      <c r="E82" s="74" t="str">
        <f>INDEX('[1]Branch code'!F:F,MATCH(D82,'[1]Branch code'!D:D,0))</f>
        <v xml:space="preserve"> Occhialli, Inc.</v>
      </c>
      <c r="F82" s="75">
        <f>INDEX('[1]Region rate'!B:B,MATCH(D82,'[1]Region rate'!A:A,0))</f>
        <v>12</v>
      </c>
      <c r="G82" s="76">
        <f>INDEX('[1]Region rate'!C:C,MATCH(F82,'[1]Region rate'!B:B,0))</f>
        <v>526.96794871794873</v>
      </c>
      <c r="H82" s="77">
        <f t="shared" si="33"/>
        <v>65.870993589743591</v>
      </c>
      <c r="I82" s="78"/>
      <c r="J82" s="78"/>
      <c r="K82" s="79"/>
      <c r="L82" s="79">
        <f>INDEX([1]Allowance!B:B,MATCH(F82,[1]Allowance!A:A,0))</f>
        <v>215</v>
      </c>
      <c r="M82" s="79"/>
      <c r="N82" s="79"/>
      <c r="O82" s="79"/>
      <c r="P82" s="79">
        <v>112</v>
      </c>
      <c r="Q82" s="78">
        <f t="shared" si="34"/>
        <v>7377.5512820512822</v>
      </c>
      <c r="R82" s="78">
        <f t="shared" si="35"/>
        <v>3010</v>
      </c>
      <c r="S82" s="78">
        <f t="shared" si="36"/>
        <v>0</v>
      </c>
      <c r="T82" s="78">
        <f t="shared" si="37"/>
        <v>0</v>
      </c>
      <c r="U82" s="79"/>
      <c r="V82" s="78">
        <f t="shared" si="38"/>
        <v>0</v>
      </c>
      <c r="W82" s="80"/>
      <c r="X82" s="80">
        <f t="shared" si="39"/>
        <v>0</v>
      </c>
      <c r="Y82" s="79"/>
      <c r="Z82" s="78">
        <f t="shared" si="40"/>
        <v>0</v>
      </c>
      <c r="AA82" s="80"/>
      <c r="AB82" s="78">
        <f t="shared" si="41"/>
        <v>0</v>
      </c>
      <c r="AC82" s="79"/>
      <c r="AD82" s="78">
        <f t="shared" si="42"/>
        <v>0</v>
      </c>
      <c r="AE82" s="80"/>
      <c r="AF82" s="78">
        <f t="shared" si="43"/>
        <v>0</v>
      </c>
      <c r="AG82" s="79"/>
      <c r="AH82" s="78">
        <f t="shared" si="44"/>
        <v>0</v>
      </c>
      <c r="AI82" s="80"/>
      <c r="AJ82" s="78">
        <f t="shared" si="45"/>
        <v>0</v>
      </c>
      <c r="AK82" s="80"/>
      <c r="AL82" s="78">
        <f t="shared" si="46"/>
        <v>0</v>
      </c>
      <c r="AM82" s="80"/>
      <c r="AN82" s="78">
        <f t="shared" si="47"/>
        <v>0</v>
      </c>
      <c r="AO82" s="80"/>
      <c r="AP82" s="78">
        <f t="shared" si="48"/>
        <v>0</v>
      </c>
      <c r="AQ82" s="80"/>
      <c r="AR82" s="78">
        <f t="shared" si="49"/>
        <v>0</v>
      </c>
      <c r="AS82" s="80"/>
      <c r="AT82" s="78">
        <f t="shared" si="50"/>
        <v>0</v>
      </c>
      <c r="AU82" s="80"/>
      <c r="AV82" s="78">
        <f t="shared" si="51"/>
        <v>0</v>
      </c>
      <c r="AW82" s="80"/>
      <c r="AX82" s="78">
        <f t="shared" si="52"/>
        <v>0</v>
      </c>
      <c r="AY82" s="80"/>
      <c r="AZ82" s="78">
        <f t="shared" si="53"/>
        <v>0</v>
      </c>
      <c r="BA82" s="80"/>
      <c r="BB82" s="78">
        <f t="shared" si="54"/>
        <v>0</v>
      </c>
      <c r="BC82" s="80"/>
      <c r="BD82" s="78">
        <f t="shared" si="55"/>
        <v>0</v>
      </c>
      <c r="BE82" s="80"/>
      <c r="BF82" s="78">
        <f t="shared" si="56"/>
        <v>0</v>
      </c>
      <c r="BG82" s="80"/>
      <c r="BH82" s="78">
        <f t="shared" si="57"/>
        <v>0</v>
      </c>
      <c r="BI82" s="80"/>
      <c r="BJ82" s="78">
        <f t="shared" si="58"/>
        <v>0</v>
      </c>
      <c r="BK82" s="80"/>
      <c r="BL82" s="78">
        <f t="shared" si="59"/>
        <v>0</v>
      </c>
      <c r="BM82" s="80"/>
      <c r="BN82" s="78">
        <f t="shared" si="60"/>
        <v>0</v>
      </c>
      <c r="BO82" s="80"/>
      <c r="BP82" s="78">
        <f t="shared" si="61"/>
        <v>0</v>
      </c>
      <c r="BQ82" s="80"/>
      <c r="BR82" s="78">
        <f t="shared" si="63"/>
        <v>0</v>
      </c>
      <c r="BS82" s="73"/>
      <c r="BT82" s="81">
        <f t="shared" si="62"/>
        <v>0</v>
      </c>
      <c r="BU82" s="81"/>
      <c r="BV82" s="81"/>
      <c r="BW82" s="81"/>
      <c r="BX82" s="81">
        <f t="shared" si="32"/>
        <v>7377.5512820512822</v>
      </c>
    </row>
    <row r="83" spans="1:76" s="82" customFormat="1" x14ac:dyDescent="0.3">
      <c r="A83" s="73">
        <v>37659</v>
      </c>
      <c r="B83" s="74" t="s">
        <v>177</v>
      </c>
      <c r="C83" s="74" t="s">
        <v>39</v>
      </c>
      <c r="D83" s="74" t="s">
        <v>178</v>
      </c>
      <c r="E83" s="74" t="str">
        <f>INDEX('[1]Branch code'!F:F,MATCH(D83,'[1]Branch code'!D:D,0))</f>
        <v xml:space="preserve"> Specs Plus, Inc.</v>
      </c>
      <c r="F83" s="75" t="str">
        <f>INDEX('[1]Region rate'!B:B,MATCH(D83,'[1]Region rate'!A:A,0))</f>
        <v>7A</v>
      </c>
      <c r="G83" s="76">
        <f>INDEX('[1]Region rate'!C:C,MATCH(F83,'[1]Region rate'!B:B,0))</f>
        <v>613.35192307692307</v>
      </c>
      <c r="H83" s="77">
        <f t="shared" si="33"/>
        <v>76.668990384615384</v>
      </c>
      <c r="I83" s="78"/>
      <c r="J83" s="78"/>
      <c r="K83" s="79"/>
      <c r="L83" s="79">
        <f>INDEX([1]Allowance!B:B,MATCH(F83,[1]Allowance!A:A,0))</f>
        <v>144</v>
      </c>
      <c r="M83" s="79"/>
      <c r="N83" s="79"/>
      <c r="O83" s="79"/>
      <c r="P83" s="79">
        <v>112</v>
      </c>
      <c r="Q83" s="78">
        <f t="shared" si="34"/>
        <v>8586.9269230769223</v>
      </c>
      <c r="R83" s="78">
        <f t="shared" si="35"/>
        <v>2016</v>
      </c>
      <c r="S83" s="78">
        <f t="shared" si="36"/>
        <v>0</v>
      </c>
      <c r="T83" s="78">
        <f t="shared" si="37"/>
        <v>0</v>
      </c>
      <c r="U83" s="79">
        <v>0.5</v>
      </c>
      <c r="V83" s="78">
        <f t="shared" si="38"/>
        <v>3.8334495192307694</v>
      </c>
      <c r="W83" s="80">
        <v>0.83</v>
      </c>
      <c r="X83" s="80">
        <f t="shared" si="39"/>
        <v>63.635262019230765</v>
      </c>
      <c r="Y83" s="79"/>
      <c r="Z83" s="78">
        <f t="shared" si="40"/>
        <v>0</v>
      </c>
      <c r="AA83" s="80"/>
      <c r="AB83" s="78">
        <f t="shared" si="41"/>
        <v>0</v>
      </c>
      <c r="AC83" s="79"/>
      <c r="AD83" s="78">
        <f t="shared" si="42"/>
        <v>0</v>
      </c>
      <c r="AE83" s="80"/>
      <c r="AF83" s="78">
        <f t="shared" si="43"/>
        <v>0</v>
      </c>
      <c r="AG83" s="79"/>
      <c r="AH83" s="78">
        <f t="shared" si="44"/>
        <v>0</v>
      </c>
      <c r="AI83" s="80"/>
      <c r="AJ83" s="78">
        <f t="shared" si="45"/>
        <v>0</v>
      </c>
      <c r="AK83" s="80"/>
      <c r="AL83" s="78">
        <f t="shared" si="46"/>
        <v>0</v>
      </c>
      <c r="AM83" s="80"/>
      <c r="AN83" s="78">
        <f t="shared" si="47"/>
        <v>0</v>
      </c>
      <c r="AO83" s="80"/>
      <c r="AP83" s="78">
        <f t="shared" si="48"/>
        <v>0</v>
      </c>
      <c r="AQ83" s="80"/>
      <c r="AR83" s="78">
        <f t="shared" si="49"/>
        <v>0</v>
      </c>
      <c r="AS83" s="80"/>
      <c r="AT83" s="78">
        <f t="shared" si="50"/>
        <v>0</v>
      </c>
      <c r="AU83" s="80"/>
      <c r="AV83" s="78">
        <f t="shared" si="51"/>
        <v>0</v>
      </c>
      <c r="AW83" s="80"/>
      <c r="AX83" s="78">
        <f t="shared" si="52"/>
        <v>0</v>
      </c>
      <c r="AY83" s="80"/>
      <c r="AZ83" s="78">
        <f t="shared" si="53"/>
        <v>0</v>
      </c>
      <c r="BA83" s="80"/>
      <c r="BB83" s="78">
        <f t="shared" si="54"/>
        <v>0</v>
      </c>
      <c r="BC83" s="80"/>
      <c r="BD83" s="78">
        <f t="shared" si="55"/>
        <v>0</v>
      </c>
      <c r="BE83" s="80"/>
      <c r="BF83" s="78">
        <f t="shared" si="56"/>
        <v>0</v>
      </c>
      <c r="BG83" s="80"/>
      <c r="BH83" s="78">
        <f t="shared" si="57"/>
        <v>0</v>
      </c>
      <c r="BI83" s="80"/>
      <c r="BJ83" s="78">
        <f t="shared" si="58"/>
        <v>0</v>
      </c>
      <c r="BK83" s="80"/>
      <c r="BL83" s="78">
        <f t="shared" si="59"/>
        <v>0</v>
      </c>
      <c r="BM83" s="80"/>
      <c r="BN83" s="78">
        <f t="shared" si="60"/>
        <v>0</v>
      </c>
      <c r="BO83" s="80"/>
      <c r="BP83" s="78">
        <f t="shared" si="61"/>
        <v>0</v>
      </c>
      <c r="BQ83" s="80"/>
      <c r="BR83" s="78">
        <f t="shared" si="63"/>
        <v>0</v>
      </c>
      <c r="BS83" s="73"/>
      <c r="BT83" s="81">
        <f t="shared" si="62"/>
        <v>0</v>
      </c>
      <c r="BU83" s="81"/>
      <c r="BV83" s="81"/>
      <c r="BW83" s="81"/>
      <c r="BX83" s="81">
        <f t="shared" si="32"/>
        <v>8527.1251105769225</v>
      </c>
    </row>
    <row r="84" spans="1:76" s="82" customFormat="1" x14ac:dyDescent="0.3">
      <c r="A84" s="73">
        <v>51286</v>
      </c>
      <c r="B84" s="74" t="s">
        <v>179</v>
      </c>
      <c r="C84" s="74" t="s">
        <v>44</v>
      </c>
      <c r="D84" s="74" t="s">
        <v>180</v>
      </c>
      <c r="E84" s="74" t="str">
        <f>INDEX('[1]Branch code'!F:F,MATCH(D84,'[1]Branch code'!D:D,0))</f>
        <v xml:space="preserve"> Executive Optical, Inc.</v>
      </c>
      <c r="F84" s="75" t="str">
        <f>INDEX('[1]Region rate'!B:B,MATCH(D84,'[1]Region rate'!A:A,0))</f>
        <v>4A2</v>
      </c>
      <c r="G84" s="76">
        <v>845.38</v>
      </c>
      <c r="H84" s="77">
        <f t="shared" si="33"/>
        <v>105.6725</v>
      </c>
      <c r="I84" s="78"/>
      <c r="J84" s="78"/>
      <c r="K84" s="79"/>
      <c r="L84" s="79">
        <v>153.84</v>
      </c>
      <c r="M84" s="79"/>
      <c r="N84" s="79"/>
      <c r="O84" s="79"/>
      <c r="P84" s="79">
        <v>112</v>
      </c>
      <c r="Q84" s="78">
        <f t="shared" si="34"/>
        <v>11835.32</v>
      </c>
      <c r="R84" s="78">
        <f t="shared" si="35"/>
        <v>2153.7600000000002</v>
      </c>
      <c r="S84" s="78">
        <f t="shared" si="36"/>
        <v>0</v>
      </c>
      <c r="T84" s="78">
        <f t="shared" si="37"/>
        <v>0</v>
      </c>
      <c r="U84" s="79"/>
      <c r="V84" s="78">
        <f t="shared" si="38"/>
        <v>0</v>
      </c>
      <c r="W84" s="80"/>
      <c r="X84" s="80">
        <f t="shared" si="39"/>
        <v>0</v>
      </c>
      <c r="Y84" s="79">
        <v>5</v>
      </c>
      <c r="Z84" s="78">
        <f t="shared" si="40"/>
        <v>660.453125</v>
      </c>
      <c r="AA84" s="80"/>
      <c r="AB84" s="78">
        <f t="shared" si="41"/>
        <v>0</v>
      </c>
      <c r="AC84" s="79"/>
      <c r="AD84" s="78">
        <f t="shared" si="42"/>
        <v>0</v>
      </c>
      <c r="AE84" s="80"/>
      <c r="AF84" s="78">
        <f t="shared" si="43"/>
        <v>0</v>
      </c>
      <c r="AG84" s="79"/>
      <c r="AH84" s="78">
        <f t="shared" si="44"/>
        <v>0</v>
      </c>
      <c r="AI84" s="80"/>
      <c r="AJ84" s="78">
        <f t="shared" si="45"/>
        <v>0</v>
      </c>
      <c r="AK84" s="80"/>
      <c r="AL84" s="78">
        <f t="shared" si="46"/>
        <v>0</v>
      </c>
      <c r="AM84" s="80"/>
      <c r="AN84" s="78">
        <f t="shared" si="47"/>
        <v>0</v>
      </c>
      <c r="AO84" s="80"/>
      <c r="AP84" s="78">
        <f t="shared" si="48"/>
        <v>0</v>
      </c>
      <c r="AQ84" s="80"/>
      <c r="AR84" s="78">
        <f t="shared" si="49"/>
        <v>0</v>
      </c>
      <c r="AS84" s="80"/>
      <c r="AT84" s="78">
        <f t="shared" si="50"/>
        <v>0</v>
      </c>
      <c r="AU84" s="80"/>
      <c r="AV84" s="78">
        <f t="shared" si="51"/>
        <v>0</v>
      </c>
      <c r="AW84" s="80"/>
      <c r="AX84" s="78">
        <f t="shared" si="52"/>
        <v>0</v>
      </c>
      <c r="AY84" s="80"/>
      <c r="AZ84" s="78">
        <f t="shared" si="53"/>
        <v>0</v>
      </c>
      <c r="BA84" s="80"/>
      <c r="BB84" s="78">
        <f t="shared" si="54"/>
        <v>0</v>
      </c>
      <c r="BC84" s="80"/>
      <c r="BD84" s="78">
        <f t="shared" si="55"/>
        <v>0</v>
      </c>
      <c r="BE84" s="80"/>
      <c r="BF84" s="78">
        <f t="shared" si="56"/>
        <v>0</v>
      </c>
      <c r="BG84" s="80"/>
      <c r="BH84" s="78">
        <f t="shared" si="57"/>
        <v>0</v>
      </c>
      <c r="BI84" s="80"/>
      <c r="BJ84" s="78">
        <f t="shared" si="58"/>
        <v>0</v>
      </c>
      <c r="BK84" s="80"/>
      <c r="BL84" s="78">
        <f t="shared" si="59"/>
        <v>0</v>
      </c>
      <c r="BM84" s="80"/>
      <c r="BN84" s="78">
        <f t="shared" si="60"/>
        <v>0</v>
      </c>
      <c r="BO84" s="80"/>
      <c r="BP84" s="78">
        <f t="shared" si="61"/>
        <v>0</v>
      </c>
      <c r="BQ84" s="80"/>
      <c r="BR84" s="78">
        <f t="shared" si="63"/>
        <v>0</v>
      </c>
      <c r="BS84" s="73"/>
      <c r="BT84" s="81">
        <f t="shared" si="62"/>
        <v>0</v>
      </c>
      <c r="BU84" s="81"/>
      <c r="BV84" s="81"/>
      <c r="BW84" s="81"/>
      <c r="BX84" s="81">
        <f t="shared" si="32"/>
        <v>12495.773125</v>
      </c>
    </row>
    <row r="85" spans="1:76" s="82" customFormat="1" x14ac:dyDescent="0.3">
      <c r="A85" s="73">
        <v>63765</v>
      </c>
      <c r="B85" s="74" t="s">
        <v>181</v>
      </c>
      <c r="C85" s="74" t="s">
        <v>39</v>
      </c>
      <c r="D85" s="74" t="s">
        <v>182</v>
      </c>
      <c r="E85" s="74" t="str">
        <f>INDEX('[1]Branch code'!F:F,MATCH(D85,'[1]Branch code'!D:D,0))</f>
        <v xml:space="preserve"> Executive Optical, Inc.</v>
      </c>
      <c r="F85" s="75" t="str">
        <f>INDEX('[1]Region rate'!B:B,MATCH(D85,'[1]Region rate'!A:A,0))</f>
        <v>NCR</v>
      </c>
      <c r="G85" s="76">
        <f>INDEX('[1]Region rate'!C:C,MATCH(F85,'[1]Region rate'!B:B,0))</f>
        <v>789.10576923076928</v>
      </c>
      <c r="H85" s="77">
        <f t="shared" si="33"/>
        <v>98.63822115384616</v>
      </c>
      <c r="I85" s="78"/>
      <c r="J85" s="78"/>
      <c r="K85" s="79">
        <v>112</v>
      </c>
      <c r="L85" s="79">
        <f>INDEX([1]Allowance!B:B,MATCH(F85,[1]Allowance!A:A,0))</f>
        <v>50</v>
      </c>
      <c r="M85" s="79"/>
      <c r="N85" s="79"/>
      <c r="O85" s="79"/>
      <c r="P85" s="79"/>
      <c r="Q85" s="78">
        <f t="shared" si="34"/>
        <v>0</v>
      </c>
      <c r="R85" s="78">
        <f t="shared" si="35"/>
        <v>0</v>
      </c>
      <c r="S85" s="78">
        <f t="shared" si="36"/>
        <v>0</v>
      </c>
      <c r="T85" s="78">
        <f t="shared" si="37"/>
        <v>0</v>
      </c>
      <c r="U85" s="79"/>
      <c r="V85" s="78">
        <f t="shared" si="38"/>
        <v>0</v>
      </c>
      <c r="W85" s="80"/>
      <c r="X85" s="80">
        <f t="shared" si="39"/>
        <v>0</v>
      </c>
      <c r="Y85" s="79"/>
      <c r="Z85" s="78">
        <f t="shared" si="40"/>
        <v>0</v>
      </c>
      <c r="AA85" s="80"/>
      <c r="AB85" s="78">
        <f t="shared" si="41"/>
        <v>0</v>
      </c>
      <c r="AC85" s="79"/>
      <c r="AD85" s="78">
        <f t="shared" si="42"/>
        <v>0</v>
      </c>
      <c r="AE85" s="80"/>
      <c r="AF85" s="78">
        <f t="shared" si="43"/>
        <v>0</v>
      </c>
      <c r="AG85" s="79"/>
      <c r="AH85" s="78">
        <f t="shared" si="44"/>
        <v>0</v>
      </c>
      <c r="AI85" s="80"/>
      <c r="AJ85" s="78">
        <f t="shared" si="45"/>
        <v>0</v>
      </c>
      <c r="AK85" s="80"/>
      <c r="AL85" s="78">
        <f t="shared" si="46"/>
        <v>0</v>
      </c>
      <c r="AM85" s="80"/>
      <c r="AN85" s="78">
        <f t="shared" si="47"/>
        <v>0</v>
      </c>
      <c r="AO85" s="80"/>
      <c r="AP85" s="78">
        <f t="shared" si="48"/>
        <v>0</v>
      </c>
      <c r="AQ85" s="80"/>
      <c r="AR85" s="78">
        <f t="shared" si="49"/>
        <v>0</v>
      </c>
      <c r="AS85" s="80"/>
      <c r="AT85" s="78">
        <f t="shared" si="50"/>
        <v>0</v>
      </c>
      <c r="AU85" s="80"/>
      <c r="AV85" s="78">
        <f t="shared" si="51"/>
        <v>0</v>
      </c>
      <c r="AW85" s="80"/>
      <c r="AX85" s="78">
        <f t="shared" si="52"/>
        <v>0</v>
      </c>
      <c r="AY85" s="80"/>
      <c r="AZ85" s="78">
        <f t="shared" si="53"/>
        <v>0</v>
      </c>
      <c r="BA85" s="80"/>
      <c r="BB85" s="78">
        <f t="shared" si="54"/>
        <v>0</v>
      </c>
      <c r="BC85" s="80"/>
      <c r="BD85" s="78">
        <f t="shared" si="55"/>
        <v>0</v>
      </c>
      <c r="BE85" s="80"/>
      <c r="BF85" s="78">
        <f t="shared" si="56"/>
        <v>0</v>
      </c>
      <c r="BG85" s="80"/>
      <c r="BH85" s="78">
        <f t="shared" si="57"/>
        <v>0</v>
      </c>
      <c r="BI85" s="80"/>
      <c r="BJ85" s="78">
        <f t="shared" si="58"/>
        <v>0</v>
      </c>
      <c r="BK85" s="80"/>
      <c r="BL85" s="78">
        <f t="shared" si="59"/>
        <v>0</v>
      </c>
      <c r="BM85" s="80"/>
      <c r="BN85" s="78">
        <f t="shared" si="60"/>
        <v>0</v>
      </c>
      <c r="BO85" s="80"/>
      <c r="BP85" s="78">
        <f t="shared" si="61"/>
        <v>0</v>
      </c>
      <c r="BQ85" s="80"/>
      <c r="BR85" s="78">
        <f t="shared" si="63"/>
        <v>0</v>
      </c>
      <c r="BS85" s="73"/>
      <c r="BT85" s="81">
        <f t="shared" si="62"/>
        <v>0</v>
      </c>
      <c r="BU85" s="81"/>
      <c r="BV85" s="81"/>
      <c r="BW85" s="81"/>
      <c r="BX85" s="81">
        <f t="shared" si="32"/>
        <v>0</v>
      </c>
    </row>
    <row r="86" spans="1:76" s="82" customFormat="1" x14ac:dyDescent="0.3">
      <c r="A86" s="73">
        <v>63766</v>
      </c>
      <c r="B86" s="83" t="s">
        <v>183</v>
      </c>
      <c r="C86" s="74" t="s">
        <v>39</v>
      </c>
      <c r="D86" s="74" t="s">
        <v>182</v>
      </c>
      <c r="E86" s="74" t="str">
        <f>INDEX('[1]Branch code'!F:F,MATCH(D86,'[1]Branch code'!D:D,0))</f>
        <v xml:space="preserve"> Executive Optical, Inc.</v>
      </c>
      <c r="F86" s="75" t="str">
        <f>INDEX('[1]Region rate'!B:B,MATCH(D86,'[1]Region rate'!A:A,0))</f>
        <v>NCR</v>
      </c>
      <c r="G86" s="76">
        <f>INDEX('[1]Region rate'!C:C,MATCH(F86,'[1]Region rate'!B:B,0))</f>
        <v>789.10576923076928</v>
      </c>
      <c r="H86" s="77">
        <f t="shared" si="33"/>
        <v>98.63822115384616</v>
      </c>
      <c r="I86" s="78">
        <v>0.27</v>
      </c>
      <c r="J86" s="78"/>
      <c r="K86" s="79">
        <v>8</v>
      </c>
      <c r="L86" s="79">
        <f>INDEX([1]Allowance!B:B,MATCH(F86,[1]Allowance!A:A,0))</f>
        <v>50</v>
      </c>
      <c r="M86" s="79"/>
      <c r="N86" s="79"/>
      <c r="O86" s="79"/>
      <c r="P86" s="79">
        <v>103.73</v>
      </c>
      <c r="Q86" s="78">
        <f t="shared" si="34"/>
        <v>10231.742680288462</v>
      </c>
      <c r="R86" s="78">
        <f t="shared" si="35"/>
        <v>648.3125</v>
      </c>
      <c r="S86" s="78">
        <f t="shared" si="36"/>
        <v>0</v>
      </c>
      <c r="T86" s="78">
        <f t="shared" si="37"/>
        <v>0</v>
      </c>
      <c r="U86" s="79">
        <v>7.5</v>
      </c>
      <c r="V86" s="78">
        <f t="shared" si="38"/>
        <v>73.978665865384627</v>
      </c>
      <c r="W86" s="80">
        <v>1.17</v>
      </c>
      <c r="X86" s="80">
        <f t="shared" si="39"/>
        <v>115.40671875</v>
      </c>
      <c r="Y86" s="79"/>
      <c r="Z86" s="78">
        <f t="shared" si="40"/>
        <v>0</v>
      </c>
      <c r="AA86" s="80"/>
      <c r="AB86" s="78">
        <f t="shared" si="41"/>
        <v>0</v>
      </c>
      <c r="AC86" s="79"/>
      <c r="AD86" s="78">
        <f t="shared" si="42"/>
        <v>0</v>
      </c>
      <c r="AE86" s="80"/>
      <c r="AF86" s="78">
        <f t="shared" si="43"/>
        <v>0</v>
      </c>
      <c r="AG86" s="79"/>
      <c r="AH86" s="78">
        <f t="shared" si="44"/>
        <v>0</v>
      </c>
      <c r="AI86" s="80"/>
      <c r="AJ86" s="78">
        <f t="shared" si="45"/>
        <v>0</v>
      </c>
      <c r="AK86" s="80"/>
      <c r="AL86" s="78">
        <f t="shared" si="46"/>
        <v>0</v>
      </c>
      <c r="AM86" s="80"/>
      <c r="AN86" s="78">
        <f t="shared" si="47"/>
        <v>0</v>
      </c>
      <c r="AO86" s="80"/>
      <c r="AP86" s="78">
        <f t="shared" si="48"/>
        <v>0</v>
      </c>
      <c r="AQ86" s="80"/>
      <c r="AR86" s="78">
        <f t="shared" si="49"/>
        <v>0</v>
      </c>
      <c r="AS86" s="80"/>
      <c r="AT86" s="78">
        <f t="shared" si="50"/>
        <v>0</v>
      </c>
      <c r="AU86" s="80"/>
      <c r="AV86" s="78">
        <f t="shared" si="51"/>
        <v>0</v>
      </c>
      <c r="AW86" s="80"/>
      <c r="AX86" s="78">
        <f t="shared" si="52"/>
        <v>0</v>
      </c>
      <c r="AY86" s="80"/>
      <c r="AZ86" s="78">
        <f t="shared" si="53"/>
        <v>0</v>
      </c>
      <c r="BA86" s="80"/>
      <c r="BB86" s="78">
        <f t="shared" si="54"/>
        <v>0</v>
      </c>
      <c r="BC86" s="80"/>
      <c r="BD86" s="78">
        <f t="shared" si="55"/>
        <v>0</v>
      </c>
      <c r="BE86" s="80"/>
      <c r="BF86" s="78">
        <f t="shared" si="56"/>
        <v>0</v>
      </c>
      <c r="BG86" s="80"/>
      <c r="BH86" s="78">
        <f t="shared" si="57"/>
        <v>0</v>
      </c>
      <c r="BI86" s="80"/>
      <c r="BJ86" s="78">
        <f t="shared" si="58"/>
        <v>0</v>
      </c>
      <c r="BK86" s="80"/>
      <c r="BL86" s="78">
        <f t="shared" si="59"/>
        <v>0</v>
      </c>
      <c r="BM86" s="80"/>
      <c r="BN86" s="78">
        <f t="shared" si="60"/>
        <v>0</v>
      </c>
      <c r="BO86" s="80"/>
      <c r="BP86" s="78">
        <f t="shared" si="61"/>
        <v>0</v>
      </c>
      <c r="BQ86" s="80"/>
      <c r="BR86" s="78">
        <f t="shared" si="63"/>
        <v>0</v>
      </c>
      <c r="BS86" s="73"/>
      <c r="BT86" s="81">
        <f t="shared" si="62"/>
        <v>0</v>
      </c>
      <c r="BU86" s="81"/>
      <c r="BV86" s="84">
        <f>(H86*BF5*8)+(H86*AD5*0.5)</f>
        <v>1030.7694110576924</v>
      </c>
      <c r="BW86" s="84">
        <f>L86</f>
        <v>50</v>
      </c>
      <c r="BX86" s="81">
        <f t="shared" si="32"/>
        <v>10190.314627403846</v>
      </c>
    </row>
    <row r="87" spans="1:76" s="82" customFormat="1" x14ac:dyDescent="0.3">
      <c r="A87" s="73">
        <v>63393</v>
      </c>
      <c r="B87" s="74" t="s">
        <v>184</v>
      </c>
      <c r="C87" s="74" t="s">
        <v>92</v>
      </c>
      <c r="D87" s="74" t="s">
        <v>185</v>
      </c>
      <c r="E87" s="74" t="str">
        <f>INDEX('[1]Branch code'!F:F,MATCH(D87,'[1]Branch code'!D:D,0))</f>
        <v xml:space="preserve"> Maple Hope, Inc.</v>
      </c>
      <c r="F87" s="75" t="str">
        <f>INDEX('[1]Region rate'!B:B,MATCH(D87,'[1]Region rate'!A:A,0))</f>
        <v>NCR</v>
      </c>
      <c r="G87" s="76">
        <f>INDEX('[1]Region rate'!C:C,MATCH(F87,'[1]Region rate'!B:B,0))</f>
        <v>789.10576923076928</v>
      </c>
      <c r="H87" s="77">
        <f t="shared" si="33"/>
        <v>98.63822115384616</v>
      </c>
      <c r="I87" s="78">
        <v>2.5299999999999998</v>
      </c>
      <c r="J87" s="78"/>
      <c r="K87" s="79">
        <v>8</v>
      </c>
      <c r="L87" s="79">
        <f>INDEX([1]Allowance!B:B,MATCH(F87,[1]Allowance!A:A,0))</f>
        <v>50</v>
      </c>
      <c r="M87" s="79">
        <v>38.46</v>
      </c>
      <c r="N87" s="79"/>
      <c r="O87" s="79"/>
      <c r="P87" s="79">
        <v>101.47</v>
      </c>
      <c r="Q87" s="78">
        <f t="shared" si="34"/>
        <v>10008.820300480769</v>
      </c>
      <c r="R87" s="78">
        <f t="shared" si="35"/>
        <v>634.1875</v>
      </c>
      <c r="S87" s="78">
        <f t="shared" si="36"/>
        <v>487.817025</v>
      </c>
      <c r="T87" s="78">
        <f t="shared" si="37"/>
        <v>0</v>
      </c>
      <c r="U87" s="79"/>
      <c r="V87" s="78">
        <f t="shared" si="38"/>
        <v>0</v>
      </c>
      <c r="W87" s="80"/>
      <c r="X87" s="80">
        <f t="shared" si="39"/>
        <v>0</v>
      </c>
      <c r="Y87" s="79">
        <v>15.566800000000001</v>
      </c>
      <c r="Z87" s="78">
        <f t="shared" si="40"/>
        <v>1919.3518263221158</v>
      </c>
      <c r="AA87" s="80"/>
      <c r="AB87" s="78">
        <f t="shared" si="41"/>
        <v>0</v>
      </c>
      <c r="AC87" s="79">
        <v>1.67E-2</v>
      </c>
      <c r="AD87" s="78">
        <f t="shared" si="42"/>
        <v>0.16472582932692309</v>
      </c>
      <c r="AE87" s="80"/>
      <c r="AF87" s="78">
        <f t="shared" si="43"/>
        <v>0</v>
      </c>
      <c r="AG87" s="79"/>
      <c r="AH87" s="78">
        <f t="shared" si="44"/>
        <v>0</v>
      </c>
      <c r="AI87" s="80"/>
      <c r="AJ87" s="78">
        <f t="shared" si="45"/>
        <v>0</v>
      </c>
      <c r="AK87" s="80"/>
      <c r="AL87" s="78">
        <f t="shared" si="46"/>
        <v>0</v>
      </c>
      <c r="AM87" s="80"/>
      <c r="AN87" s="78">
        <f t="shared" si="47"/>
        <v>0</v>
      </c>
      <c r="AO87" s="80"/>
      <c r="AP87" s="78">
        <f t="shared" si="48"/>
        <v>0</v>
      </c>
      <c r="AQ87" s="80"/>
      <c r="AR87" s="78">
        <f t="shared" si="49"/>
        <v>0</v>
      </c>
      <c r="AS87" s="80"/>
      <c r="AT87" s="78">
        <f t="shared" si="50"/>
        <v>0</v>
      </c>
      <c r="AU87" s="80"/>
      <c r="AV87" s="78">
        <f t="shared" si="51"/>
        <v>0</v>
      </c>
      <c r="AW87" s="80"/>
      <c r="AX87" s="78">
        <f t="shared" si="52"/>
        <v>0</v>
      </c>
      <c r="AY87" s="80"/>
      <c r="AZ87" s="78">
        <f t="shared" si="53"/>
        <v>0</v>
      </c>
      <c r="BA87" s="80"/>
      <c r="BB87" s="78">
        <f t="shared" si="54"/>
        <v>0</v>
      </c>
      <c r="BC87" s="80"/>
      <c r="BD87" s="78">
        <f t="shared" si="55"/>
        <v>0</v>
      </c>
      <c r="BE87" s="80"/>
      <c r="BF87" s="78">
        <f t="shared" si="56"/>
        <v>0</v>
      </c>
      <c r="BG87" s="80"/>
      <c r="BH87" s="78">
        <f t="shared" si="57"/>
        <v>0</v>
      </c>
      <c r="BI87" s="80"/>
      <c r="BJ87" s="78">
        <f t="shared" si="58"/>
        <v>0</v>
      </c>
      <c r="BK87" s="80"/>
      <c r="BL87" s="78">
        <f t="shared" si="59"/>
        <v>0</v>
      </c>
      <c r="BM87" s="80"/>
      <c r="BN87" s="78">
        <f t="shared" si="60"/>
        <v>0</v>
      </c>
      <c r="BO87" s="80"/>
      <c r="BP87" s="78">
        <f t="shared" si="61"/>
        <v>0</v>
      </c>
      <c r="BQ87" s="80"/>
      <c r="BR87" s="78">
        <f t="shared" si="63"/>
        <v>0</v>
      </c>
      <c r="BS87" s="73"/>
      <c r="BT87" s="81">
        <f t="shared" si="62"/>
        <v>0</v>
      </c>
      <c r="BU87" s="81"/>
      <c r="BV87" s="81"/>
      <c r="BW87" s="81"/>
      <c r="BX87" s="81">
        <f t="shared" si="32"/>
        <v>11928.336852632212</v>
      </c>
    </row>
    <row r="88" spans="1:76" s="82" customFormat="1" x14ac:dyDescent="0.3">
      <c r="A88" s="73">
        <v>63606</v>
      </c>
      <c r="B88" s="74" t="s">
        <v>186</v>
      </c>
      <c r="C88" s="74" t="s">
        <v>39</v>
      </c>
      <c r="D88" s="74" t="s">
        <v>187</v>
      </c>
      <c r="E88" s="74" t="str">
        <f>INDEX('[1]Branch code'!F:F,MATCH(D88,'[1]Branch code'!D:D,0))</f>
        <v xml:space="preserve"> Basic Brands Phils., Inc.</v>
      </c>
      <c r="F88" s="75">
        <f>INDEX('[1]Region rate'!B:B,MATCH(D88,'[1]Region rate'!A:A,0))</f>
        <v>5</v>
      </c>
      <c r="G88" s="76">
        <f>INDEX('[1]Region rate'!C:C,MATCH(F88,'[1]Region rate'!B:B,0))</f>
        <v>525.85961538461538</v>
      </c>
      <c r="H88" s="77">
        <f t="shared" si="33"/>
        <v>65.732451923076923</v>
      </c>
      <c r="I88" s="78"/>
      <c r="J88" s="78">
        <v>4</v>
      </c>
      <c r="K88" s="79"/>
      <c r="L88" s="79">
        <f>INDEX([1]Allowance!B:B,MATCH(F88,[1]Allowance!A:A,0))</f>
        <v>216</v>
      </c>
      <c r="M88" s="79"/>
      <c r="N88" s="79"/>
      <c r="O88" s="79"/>
      <c r="P88" s="79">
        <v>108</v>
      </c>
      <c r="Q88" s="78">
        <f t="shared" si="34"/>
        <v>7099.104807692308</v>
      </c>
      <c r="R88" s="78">
        <f t="shared" si="35"/>
        <v>2916</v>
      </c>
      <c r="S88" s="78">
        <f t="shared" si="36"/>
        <v>0</v>
      </c>
      <c r="T88" s="78">
        <f t="shared" si="37"/>
        <v>0</v>
      </c>
      <c r="U88" s="79"/>
      <c r="V88" s="78">
        <f t="shared" si="38"/>
        <v>0</v>
      </c>
      <c r="W88" s="80"/>
      <c r="X88" s="80">
        <f t="shared" si="39"/>
        <v>0</v>
      </c>
      <c r="Y88" s="79">
        <v>6.0334000000000003</v>
      </c>
      <c r="Z88" s="78">
        <f t="shared" si="40"/>
        <v>495.73771929086547</v>
      </c>
      <c r="AA88" s="80"/>
      <c r="AB88" s="78">
        <f t="shared" si="41"/>
        <v>0</v>
      </c>
      <c r="AC88" s="79"/>
      <c r="AD88" s="78">
        <f t="shared" si="42"/>
        <v>0</v>
      </c>
      <c r="AE88" s="80"/>
      <c r="AF88" s="78">
        <f t="shared" si="43"/>
        <v>0</v>
      </c>
      <c r="AG88" s="79"/>
      <c r="AH88" s="78">
        <f t="shared" si="44"/>
        <v>0</v>
      </c>
      <c r="AI88" s="80"/>
      <c r="AJ88" s="78">
        <f t="shared" si="45"/>
        <v>0</v>
      </c>
      <c r="AK88" s="80"/>
      <c r="AL88" s="78">
        <f t="shared" si="46"/>
        <v>0</v>
      </c>
      <c r="AM88" s="80"/>
      <c r="AN88" s="78">
        <f t="shared" si="47"/>
        <v>0</v>
      </c>
      <c r="AO88" s="80"/>
      <c r="AP88" s="78">
        <f t="shared" si="48"/>
        <v>0</v>
      </c>
      <c r="AQ88" s="80"/>
      <c r="AR88" s="78">
        <f t="shared" si="49"/>
        <v>0</v>
      </c>
      <c r="AS88" s="80"/>
      <c r="AT88" s="78">
        <f t="shared" si="50"/>
        <v>0</v>
      </c>
      <c r="AU88" s="80"/>
      <c r="AV88" s="78">
        <f t="shared" si="51"/>
        <v>0</v>
      </c>
      <c r="AW88" s="80"/>
      <c r="AX88" s="78">
        <f t="shared" si="52"/>
        <v>0</v>
      </c>
      <c r="AY88" s="80"/>
      <c r="AZ88" s="78">
        <f t="shared" si="53"/>
        <v>0</v>
      </c>
      <c r="BA88" s="80"/>
      <c r="BB88" s="78">
        <f t="shared" si="54"/>
        <v>0</v>
      </c>
      <c r="BC88" s="80"/>
      <c r="BD88" s="78">
        <f t="shared" si="55"/>
        <v>0</v>
      </c>
      <c r="BE88" s="80"/>
      <c r="BF88" s="78">
        <f t="shared" si="56"/>
        <v>0</v>
      </c>
      <c r="BG88" s="80"/>
      <c r="BH88" s="78">
        <f t="shared" si="57"/>
        <v>0</v>
      </c>
      <c r="BI88" s="80"/>
      <c r="BJ88" s="78">
        <f t="shared" si="58"/>
        <v>0</v>
      </c>
      <c r="BK88" s="80"/>
      <c r="BL88" s="78">
        <f t="shared" si="59"/>
        <v>0</v>
      </c>
      <c r="BM88" s="80"/>
      <c r="BN88" s="78">
        <f t="shared" si="60"/>
        <v>0</v>
      </c>
      <c r="BO88" s="80"/>
      <c r="BP88" s="78">
        <f t="shared" si="61"/>
        <v>0</v>
      </c>
      <c r="BQ88" s="80"/>
      <c r="BR88" s="78">
        <f t="shared" si="63"/>
        <v>0</v>
      </c>
      <c r="BS88" s="73"/>
      <c r="BT88" s="81">
        <f t="shared" si="62"/>
        <v>0</v>
      </c>
      <c r="BU88" s="81"/>
      <c r="BV88" s="81"/>
      <c r="BW88" s="81"/>
      <c r="BX88" s="81">
        <f t="shared" si="32"/>
        <v>7594.8425269831732</v>
      </c>
    </row>
    <row r="89" spans="1:76" s="82" customFormat="1" x14ac:dyDescent="0.3">
      <c r="A89" s="73">
        <v>37732</v>
      </c>
      <c r="B89" s="74" t="s">
        <v>188</v>
      </c>
      <c r="C89" s="74" t="s">
        <v>39</v>
      </c>
      <c r="D89" s="74" t="s">
        <v>189</v>
      </c>
      <c r="E89" s="74" t="str">
        <f>INDEX('[1]Branch code'!F:F,MATCH(D89,'[1]Branch code'!D:D,0))</f>
        <v xml:space="preserve"> Occhialli, Inc.</v>
      </c>
      <c r="F89" s="75" t="str">
        <f>INDEX('[1]Region rate'!B:B,MATCH(D89,'[1]Region rate'!A:A,0))</f>
        <v>7A</v>
      </c>
      <c r="G89" s="76">
        <f>INDEX('[1]Region rate'!C:C,MATCH(F89,'[1]Region rate'!B:B,0))</f>
        <v>613.35192307692307</v>
      </c>
      <c r="H89" s="77">
        <f t="shared" si="33"/>
        <v>76.668990384615384</v>
      </c>
      <c r="I89" s="78"/>
      <c r="J89" s="78"/>
      <c r="K89" s="79"/>
      <c r="L89" s="79">
        <f>INDEX([1]Allowance!B:B,MATCH(F89,[1]Allowance!A:A,0))</f>
        <v>144</v>
      </c>
      <c r="M89" s="79"/>
      <c r="N89" s="79"/>
      <c r="O89" s="79"/>
      <c r="P89" s="79">
        <v>112</v>
      </c>
      <c r="Q89" s="78">
        <f t="shared" si="34"/>
        <v>8586.9269230769223</v>
      </c>
      <c r="R89" s="78">
        <f t="shared" si="35"/>
        <v>2016</v>
      </c>
      <c r="S89" s="78">
        <f t="shared" si="36"/>
        <v>0</v>
      </c>
      <c r="T89" s="78">
        <f t="shared" si="37"/>
        <v>0</v>
      </c>
      <c r="U89" s="79">
        <v>2</v>
      </c>
      <c r="V89" s="78">
        <f t="shared" si="38"/>
        <v>15.333798076923078</v>
      </c>
      <c r="W89" s="80"/>
      <c r="X89" s="80">
        <f t="shared" si="39"/>
        <v>0</v>
      </c>
      <c r="Y89" s="79"/>
      <c r="Z89" s="78">
        <f t="shared" si="40"/>
        <v>0</v>
      </c>
      <c r="AA89" s="80"/>
      <c r="AB89" s="78">
        <f t="shared" si="41"/>
        <v>0</v>
      </c>
      <c r="AC89" s="79"/>
      <c r="AD89" s="78">
        <f t="shared" si="42"/>
        <v>0</v>
      </c>
      <c r="AE89" s="80"/>
      <c r="AF89" s="78">
        <f t="shared" si="43"/>
        <v>0</v>
      </c>
      <c r="AG89" s="79"/>
      <c r="AH89" s="78">
        <f t="shared" si="44"/>
        <v>0</v>
      </c>
      <c r="AI89" s="80"/>
      <c r="AJ89" s="78">
        <f t="shared" si="45"/>
        <v>0</v>
      </c>
      <c r="AK89" s="80"/>
      <c r="AL89" s="78">
        <f t="shared" si="46"/>
        <v>0</v>
      </c>
      <c r="AM89" s="80"/>
      <c r="AN89" s="78">
        <f t="shared" si="47"/>
        <v>0</v>
      </c>
      <c r="AO89" s="80"/>
      <c r="AP89" s="78">
        <f t="shared" si="48"/>
        <v>0</v>
      </c>
      <c r="AQ89" s="80"/>
      <c r="AR89" s="78">
        <f t="shared" si="49"/>
        <v>0</v>
      </c>
      <c r="AS89" s="80"/>
      <c r="AT89" s="78">
        <f t="shared" si="50"/>
        <v>0</v>
      </c>
      <c r="AU89" s="80"/>
      <c r="AV89" s="78">
        <f t="shared" si="51"/>
        <v>0</v>
      </c>
      <c r="AW89" s="80"/>
      <c r="AX89" s="78">
        <f t="shared" si="52"/>
        <v>0</v>
      </c>
      <c r="AY89" s="80"/>
      <c r="AZ89" s="78">
        <f t="shared" si="53"/>
        <v>0</v>
      </c>
      <c r="BA89" s="80"/>
      <c r="BB89" s="78">
        <f t="shared" si="54"/>
        <v>0</v>
      </c>
      <c r="BC89" s="80"/>
      <c r="BD89" s="78">
        <f t="shared" si="55"/>
        <v>0</v>
      </c>
      <c r="BE89" s="80"/>
      <c r="BF89" s="78">
        <f t="shared" si="56"/>
        <v>0</v>
      </c>
      <c r="BG89" s="80"/>
      <c r="BH89" s="78">
        <f t="shared" si="57"/>
        <v>0</v>
      </c>
      <c r="BI89" s="80"/>
      <c r="BJ89" s="78">
        <f t="shared" si="58"/>
        <v>0</v>
      </c>
      <c r="BK89" s="80"/>
      <c r="BL89" s="78">
        <f t="shared" si="59"/>
        <v>0</v>
      </c>
      <c r="BM89" s="80"/>
      <c r="BN89" s="78">
        <f t="shared" si="60"/>
        <v>0</v>
      </c>
      <c r="BO89" s="80"/>
      <c r="BP89" s="78">
        <f t="shared" si="61"/>
        <v>0</v>
      </c>
      <c r="BQ89" s="80"/>
      <c r="BR89" s="78">
        <f t="shared" si="63"/>
        <v>0</v>
      </c>
      <c r="BS89" s="73"/>
      <c r="BT89" s="81">
        <f t="shared" si="62"/>
        <v>0</v>
      </c>
      <c r="BU89" s="81"/>
      <c r="BV89" s="81"/>
      <c r="BW89" s="81"/>
      <c r="BX89" s="81">
        <f t="shared" si="32"/>
        <v>8602.2607211538452</v>
      </c>
    </row>
    <row r="90" spans="1:76" s="82" customFormat="1" x14ac:dyDescent="0.3">
      <c r="A90" s="73">
        <v>37756</v>
      </c>
      <c r="B90" s="74" t="s">
        <v>190</v>
      </c>
      <c r="C90" s="74" t="s">
        <v>39</v>
      </c>
      <c r="D90" s="74" t="s">
        <v>189</v>
      </c>
      <c r="E90" s="74" t="str">
        <f>INDEX('[1]Branch code'!F:F,MATCH(D90,'[1]Branch code'!D:D,0))</f>
        <v xml:space="preserve"> Occhialli, Inc.</v>
      </c>
      <c r="F90" s="75" t="str">
        <f>INDEX('[1]Region rate'!B:B,MATCH(D90,'[1]Region rate'!A:A,0))</f>
        <v>7A</v>
      </c>
      <c r="G90" s="76">
        <f>INDEX('[1]Region rate'!C:C,MATCH(F90,'[1]Region rate'!B:B,0))</f>
        <v>613.35192307692307</v>
      </c>
      <c r="H90" s="77">
        <f t="shared" si="33"/>
        <v>76.668990384615384</v>
      </c>
      <c r="I90" s="78">
        <v>0.47</v>
      </c>
      <c r="J90" s="78">
        <v>4</v>
      </c>
      <c r="K90" s="79">
        <v>24</v>
      </c>
      <c r="L90" s="79">
        <f>INDEX([1]Allowance!B:B,MATCH(F90,[1]Allowance!A:A,0))</f>
        <v>144</v>
      </c>
      <c r="M90" s="79"/>
      <c r="N90" s="79"/>
      <c r="O90" s="79"/>
      <c r="P90" s="79">
        <v>83.53</v>
      </c>
      <c r="Q90" s="78">
        <f t="shared" si="34"/>
        <v>6404.1607668269235</v>
      </c>
      <c r="R90" s="78">
        <f t="shared" si="35"/>
        <v>1503.54</v>
      </c>
      <c r="S90" s="78">
        <f t="shared" si="36"/>
        <v>0</v>
      </c>
      <c r="T90" s="78">
        <f t="shared" si="37"/>
        <v>0</v>
      </c>
      <c r="U90" s="79">
        <v>0.5</v>
      </c>
      <c r="V90" s="78">
        <f t="shared" si="38"/>
        <v>3.8334495192307694</v>
      </c>
      <c r="W90" s="80"/>
      <c r="X90" s="80">
        <f t="shared" si="39"/>
        <v>0</v>
      </c>
      <c r="Y90" s="79">
        <v>1</v>
      </c>
      <c r="Z90" s="78">
        <f t="shared" si="40"/>
        <v>95.836237980769226</v>
      </c>
      <c r="AA90" s="80"/>
      <c r="AB90" s="78">
        <f t="shared" si="41"/>
        <v>0</v>
      </c>
      <c r="AC90" s="79"/>
      <c r="AD90" s="78">
        <f t="shared" si="42"/>
        <v>0</v>
      </c>
      <c r="AE90" s="80"/>
      <c r="AF90" s="78">
        <f t="shared" si="43"/>
        <v>0</v>
      </c>
      <c r="AG90" s="79"/>
      <c r="AH90" s="78">
        <f t="shared" si="44"/>
        <v>0</v>
      </c>
      <c r="AI90" s="80"/>
      <c r="AJ90" s="78">
        <f t="shared" si="45"/>
        <v>0</v>
      </c>
      <c r="AK90" s="80"/>
      <c r="AL90" s="78">
        <f t="shared" si="46"/>
        <v>0</v>
      </c>
      <c r="AM90" s="80"/>
      <c r="AN90" s="78">
        <f t="shared" si="47"/>
        <v>0</v>
      </c>
      <c r="AO90" s="80"/>
      <c r="AP90" s="78">
        <f t="shared" si="48"/>
        <v>0</v>
      </c>
      <c r="AQ90" s="80"/>
      <c r="AR90" s="78">
        <f t="shared" si="49"/>
        <v>0</v>
      </c>
      <c r="AS90" s="80"/>
      <c r="AT90" s="78">
        <f t="shared" si="50"/>
        <v>0</v>
      </c>
      <c r="AU90" s="80"/>
      <c r="AV90" s="78">
        <f t="shared" si="51"/>
        <v>0</v>
      </c>
      <c r="AW90" s="80"/>
      <c r="AX90" s="78">
        <f t="shared" si="52"/>
        <v>0</v>
      </c>
      <c r="AY90" s="80"/>
      <c r="AZ90" s="78">
        <f t="shared" si="53"/>
        <v>0</v>
      </c>
      <c r="BA90" s="80"/>
      <c r="BB90" s="78">
        <f t="shared" si="54"/>
        <v>0</v>
      </c>
      <c r="BC90" s="80"/>
      <c r="BD90" s="78">
        <f t="shared" si="55"/>
        <v>0</v>
      </c>
      <c r="BE90" s="80"/>
      <c r="BF90" s="78">
        <f t="shared" si="56"/>
        <v>0</v>
      </c>
      <c r="BG90" s="80"/>
      <c r="BH90" s="78">
        <f t="shared" si="57"/>
        <v>0</v>
      </c>
      <c r="BI90" s="80"/>
      <c r="BJ90" s="78">
        <f t="shared" si="58"/>
        <v>0</v>
      </c>
      <c r="BK90" s="80"/>
      <c r="BL90" s="78">
        <f t="shared" si="59"/>
        <v>0</v>
      </c>
      <c r="BM90" s="80"/>
      <c r="BN90" s="78">
        <f t="shared" si="60"/>
        <v>0</v>
      </c>
      <c r="BO90" s="80"/>
      <c r="BP90" s="78">
        <f t="shared" si="61"/>
        <v>0</v>
      </c>
      <c r="BQ90" s="80"/>
      <c r="BR90" s="78">
        <f t="shared" si="63"/>
        <v>0</v>
      </c>
      <c r="BS90" s="73"/>
      <c r="BT90" s="81">
        <f t="shared" si="62"/>
        <v>0</v>
      </c>
      <c r="BU90" s="81"/>
      <c r="BV90" s="81"/>
      <c r="BW90" s="81"/>
      <c r="BX90" s="81">
        <f t="shared" si="32"/>
        <v>6503.8304543269242</v>
      </c>
    </row>
    <row r="91" spans="1:76" s="82" customFormat="1" x14ac:dyDescent="0.3">
      <c r="A91" s="73">
        <v>37662</v>
      </c>
      <c r="B91" s="74" t="s">
        <v>191</v>
      </c>
      <c r="C91" s="74" t="s">
        <v>39</v>
      </c>
      <c r="D91" s="74" t="s">
        <v>192</v>
      </c>
      <c r="E91" s="74" t="str">
        <f>INDEX('[1]Branch code'!F:F,MATCH(D91,'[1]Branch code'!D:D,0))</f>
        <v>Occhialli, Inc.</v>
      </c>
      <c r="F91" s="75" t="str">
        <f>INDEX('[1]Region rate'!B:B,MATCH(D91,'[1]Region rate'!A:A,0))</f>
        <v>7A</v>
      </c>
      <c r="G91" s="76">
        <f>INDEX('[1]Region rate'!C:C,MATCH(F91,'[1]Region rate'!B:B,0))</f>
        <v>613.35192307692307</v>
      </c>
      <c r="H91" s="77">
        <f t="shared" si="33"/>
        <v>76.668990384615384</v>
      </c>
      <c r="I91" s="78"/>
      <c r="J91" s="78"/>
      <c r="K91" s="79"/>
      <c r="L91" s="79">
        <f>INDEX([1]Allowance!B:B,MATCH(F91,[1]Allowance!A:A,0))</f>
        <v>144</v>
      </c>
      <c r="M91" s="79"/>
      <c r="N91" s="79"/>
      <c r="O91" s="79"/>
      <c r="P91" s="79">
        <v>112</v>
      </c>
      <c r="Q91" s="78">
        <f t="shared" si="34"/>
        <v>8586.9269230769223</v>
      </c>
      <c r="R91" s="78">
        <f t="shared" si="35"/>
        <v>2016</v>
      </c>
      <c r="S91" s="78">
        <f t="shared" si="36"/>
        <v>0</v>
      </c>
      <c r="T91" s="78">
        <f t="shared" si="37"/>
        <v>0</v>
      </c>
      <c r="U91" s="79"/>
      <c r="V91" s="78">
        <f t="shared" si="38"/>
        <v>0</v>
      </c>
      <c r="W91" s="80"/>
      <c r="X91" s="80">
        <f t="shared" si="39"/>
        <v>0</v>
      </c>
      <c r="Y91" s="79"/>
      <c r="Z91" s="78">
        <f t="shared" si="40"/>
        <v>0</v>
      </c>
      <c r="AA91" s="80"/>
      <c r="AB91" s="78">
        <f t="shared" si="41"/>
        <v>0</v>
      </c>
      <c r="AC91" s="79"/>
      <c r="AD91" s="78">
        <f t="shared" si="42"/>
        <v>0</v>
      </c>
      <c r="AE91" s="80"/>
      <c r="AF91" s="78">
        <f t="shared" si="43"/>
        <v>0</v>
      </c>
      <c r="AG91" s="79"/>
      <c r="AH91" s="78">
        <f t="shared" si="44"/>
        <v>0</v>
      </c>
      <c r="AI91" s="80"/>
      <c r="AJ91" s="78">
        <f t="shared" si="45"/>
        <v>0</v>
      </c>
      <c r="AK91" s="80"/>
      <c r="AL91" s="78">
        <f t="shared" si="46"/>
        <v>0</v>
      </c>
      <c r="AM91" s="80"/>
      <c r="AN91" s="78">
        <f t="shared" si="47"/>
        <v>0</v>
      </c>
      <c r="AO91" s="80"/>
      <c r="AP91" s="78">
        <f t="shared" si="48"/>
        <v>0</v>
      </c>
      <c r="AQ91" s="80"/>
      <c r="AR91" s="78">
        <f t="shared" si="49"/>
        <v>0</v>
      </c>
      <c r="AS91" s="80"/>
      <c r="AT91" s="78">
        <f t="shared" si="50"/>
        <v>0</v>
      </c>
      <c r="AU91" s="80"/>
      <c r="AV91" s="78">
        <f t="shared" si="51"/>
        <v>0</v>
      </c>
      <c r="AW91" s="80"/>
      <c r="AX91" s="78">
        <f t="shared" si="52"/>
        <v>0</v>
      </c>
      <c r="AY91" s="80"/>
      <c r="AZ91" s="78">
        <f t="shared" si="53"/>
        <v>0</v>
      </c>
      <c r="BA91" s="80"/>
      <c r="BB91" s="78">
        <f t="shared" si="54"/>
        <v>0</v>
      </c>
      <c r="BC91" s="80"/>
      <c r="BD91" s="78">
        <f t="shared" si="55"/>
        <v>0</v>
      </c>
      <c r="BE91" s="80"/>
      <c r="BF91" s="78">
        <f t="shared" si="56"/>
        <v>0</v>
      </c>
      <c r="BG91" s="80"/>
      <c r="BH91" s="78">
        <f t="shared" si="57"/>
        <v>0</v>
      </c>
      <c r="BI91" s="80"/>
      <c r="BJ91" s="78">
        <f t="shared" si="58"/>
        <v>0</v>
      </c>
      <c r="BK91" s="80"/>
      <c r="BL91" s="78">
        <f t="shared" si="59"/>
        <v>0</v>
      </c>
      <c r="BM91" s="80"/>
      <c r="BN91" s="78">
        <f t="shared" si="60"/>
        <v>0</v>
      </c>
      <c r="BO91" s="80"/>
      <c r="BP91" s="78">
        <f t="shared" si="61"/>
        <v>0</v>
      </c>
      <c r="BQ91" s="80"/>
      <c r="BR91" s="78">
        <f t="shared" si="63"/>
        <v>0</v>
      </c>
      <c r="BS91" s="73"/>
      <c r="BT91" s="81">
        <f t="shared" si="62"/>
        <v>0</v>
      </c>
      <c r="BU91" s="81"/>
      <c r="BV91" s="81"/>
      <c r="BW91" s="81"/>
      <c r="BX91" s="81">
        <f t="shared" si="32"/>
        <v>8586.9269230769223</v>
      </c>
    </row>
    <row r="92" spans="1:76" s="82" customFormat="1" x14ac:dyDescent="0.3">
      <c r="A92" s="73">
        <v>52044</v>
      </c>
      <c r="B92" s="74" t="s">
        <v>193</v>
      </c>
      <c r="C92" s="74" t="s">
        <v>44</v>
      </c>
      <c r="D92" s="74" t="s">
        <v>194</v>
      </c>
      <c r="E92" s="74" t="str">
        <f>INDEX('[1]Branch code'!F:F,MATCH(D92,'[1]Branch code'!D:D,0))</f>
        <v xml:space="preserve"> Basic Brands Phils., Inc.</v>
      </c>
      <c r="F92" s="75" t="str">
        <f>INDEX('[1]Region rate'!B:B,MATCH(D92,'[1]Region rate'!A:A,0))</f>
        <v>4A2</v>
      </c>
      <c r="G92" s="76">
        <v>845.38</v>
      </c>
      <c r="H92" s="77">
        <f t="shared" si="33"/>
        <v>105.6725</v>
      </c>
      <c r="I92" s="78"/>
      <c r="J92" s="78"/>
      <c r="K92" s="79"/>
      <c r="L92" s="79">
        <v>153.84</v>
      </c>
      <c r="M92" s="79"/>
      <c r="N92" s="79"/>
      <c r="O92" s="79"/>
      <c r="P92" s="79">
        <v>112</v>
      </c>
      <c r="Q92" s="78">
        <f t="shared" si="34"/>
        <v>11835.32</v>
      </c>
      <c r="R92" s="78">
        <f t="shared" si="35"/>
        <v>2153.7600000000002</v>
      </c>
      <c r="S92" s="78">
        <f t="shared" si="36"/>
        <v>0</v>
      </c>
      <c r="T92" s="78">
        <f t="shared" si="37"/>
        <v>0</v>
      </c>
      <c r="U92" s="79"/>
      <c r="V92" s="78">
        <f t="shared" si="38"/>
        <v>0</v>
      </c>
      <c r="W92" s="80"/>
      <c r="X92" s="80">
        <f t="shared" si="39"/>
        <v>0</v>
      </c>
      <c r="Y92" s="79">
        <v>3</v>
      </c>
      <c r="Z92" s="78">
        <f t="shared" si="40"/>
        <v>396.27187499999997</v>
      </c>
      <c r="AA92" s="80"/>
      <c r="AB92" s="78">
        <f t="shared" si="41"/>
        <v>0</v>
      </c>
      <c r="AC92" s="79"/>
      <c r="AD92" s="78">
        <f t="shared" si="42"/>
        <v>0</v>
      </c>
      <c r="AE92" s="80"/>
      <c r="AF92" s="78">
        <f t="shared" si="43"/>
        <v>0</v>
      </c>
      <c r="AG92" s="79"/>
      <c r="AH92" s="78">
        <f t="shared" si="44"/>
        <v>0</v>
      </c>
      <c r="AI92" s="80"/>
      <c r="AJ92" s="78">
        <f t="shared" si="45"/>
        <v>0</v>
      </c>
      <c r="AK92" s="80"/>
      <c r="AL92" s="78">
        <f t="shared" si="46"/>
        <v>0</v>
      </c>
      <c r="AM92" s="80"/>
      <c r="AN92" s="78">
        <f t="shared" si="47"/>
        <v>0</v>
      </c>
      <c r="AO92" s="80"/>
      <c r="AP92" s="78">
        <f t="shared" si="48"/>
        <v>0</v>
      </c>
      <c r="AQ92" s="80"/>
      <c r="AR92" s="78">
        <f t="shared" si="49"/>
        <v>0</v>
      </c>
      <c r="AS92" s="80"/>
      <c r="AT92" s="78">
        <f t="shared" si="50"/>
        <v>0</v>
      </c>
      <c r="AU92" s="80"/>
      <c r="AV92" s="78">
        <f t="shared" si="51"/>
        <v>0</v>
      </c>
      <c r="AW92" s="80"/>
      <c r="AX92" s="78">
        <f t="shared" si="52"/>
        <v>0</v>
      </c>
      <c r="AY92" s="80"/>
      <c r="AZ92" s="78">
        <f t="shared" si="53"/>
        <v>0</v>
      </c>
      <c r="BA92" s="80"/>
      <c r="BB92" s="78">
        <f t="shared" si="54"/>
        <v>0</v>
      </c>
      <c r="BC92" s="80"/>
      <c r="BD92" s="78">
        <f t="shared" si="55"/>
        <v>0</v>
      </c>
      <c r="BE92" s="80"/>
      <c r="BF92" s="78">
        <f t="shared" si="56"/>
        <v>0</v>
      </c>
      <c r="BG92" s="80"/>
      <c r="BH92" s="78">
        <f t="shared" si="57"/>
        <v>0</v>
      </c>
      <c r="BI92" s="80"/>
      <c r="BJ92" s="78">
        <f t="shared" si="58"/>
        <v>0</v>
      </c>
      <c r="BK92" s="80"/>
      <c r="BL92" s="78">
        <f t="shared" si="59"/>
        <v>0</v>
      </c>
      <c r="BM92" s="80"/>
      <c r="BN92" s="78">
        <f t="shared" si="60"/>
        <v>0</v>
      </c>
      <c r="BO92" s="80"/>
      <c r="BP92" s="78">
        <f t="shared" si="61"/>
        <v>0</v>
      </c>
      <c r="BQ92" s="80"/>
      <c r="BR92" s="78">
        <f t="shared" si="63"/>
        <v>0</v>
      </c>
      <c r="BS92" s="73"/>
      <c r="BT92" s="81">
        <f t="shared" si="62"/>
        <v>0</v>
      </c>
      <c r="BU92" s="81"/>
      <c r="BV92" s="81"/>
      <c r="BW92" s="81"/>
      <c r="BX92" s="81">
        <f t="shared" si="32"/>
        <v>12231.591875</v>
      </c>
    </row>
    <row r="93" spans="1:76" s="82" customFormat="1" x14ac:dyDescent="0.3">
      <c r="A93" s="73">
        <v>37577</v>
      </c>
      <c r="B93" s="74" t="s">
        <v>195</v>
      </c>
      <c r="C93" s="74" t="s">
        <v>68</v>
      </c>
      <c r="D93" s="74" t="s">
        <v>196</v>
      </c>
      <c r="E93" s="74" t="str">
        <f>INDEX('[1]Branch code'!F:F,MATCH(D93,'[1]Branch code'!D:D,0))</f>
        <v xml:space="preserve"> Legato Visions, Inc.</v>
      </c>
      <c r="F93" s="75">
        <f>INDEX('[1]Region rate'!B:B,MATCH(D93,'[1]Region rate'!A:A,0))</f>
        <v>3</v>
      </c>
      <c r="G93" s="76">
        <f>INDEX('[1]Region rate'!C:C,MATCH(F93,'[1]Region rate'!B:B,0))</f>
        <v>641.875</v>
      </c>
      <c r="H93" s="77">
        <f t="shared" si="33"/>
        <v>80.234375</v>
      </c>
      <c r="I93" s="78">
        <v>0.2</v>
      </c>
      <c r="J93" s="78"/>
      <c r="K93" s="79"/>
      <c r="L93" s="79">
        <f>INDEX([1]Allowance!B:B,MATCH(F93,[1]Allowance!A:A,0))</f>
        <v>120</v>
      </c>
      <c r="M93" s="79"/>
      <c r="N93" s="79"/>
      <c r="O93" s="79"/>
      <c r="P93" s="79">
        <v>111.8</v>
      </c>
      <c r="Q93" s="78">
        <f t="shared" si="34"/>
        <v>8970.203125</v>
      </c>
      <c r="R93" s="78">
        <f t="shared" si="35"/>
        <v>1677</v>
      </c>
      <c r="S93" s="78">
        <f t="shared" si="36"/>
        <v>0</v>
      </c>
      <c r="T93" s="78">
        <f t="shared" si="37"/>
        <v>0</v>
      </c>
      <c r="U93" s="79"/>
      <c r="V93" s="78">
        <f t="shared" si="38"/>
        <v>0</v>
      </c>
      <c r="W93" s="80"/>
      <c r="X93" s="80">
        <f t="shared" si="39"/>
        <v>0</v>
      </c>
      <c r="Y93" s="79">
        <v>2</v>
      </c>
      <c r="Z93" s="78">
        <f t="shared" si="40"/>
        <v>200.5859375</v>
      </c>
      <c r="AA93" s="80"/>
      <c r="AB93" s="78">
        <f t="shared" si="41"/>
        <v>0</v>
      </c>
      <c r="AC93" s="79"/>
      <c r="AD93" s="78">
        <f t="shared" si="42"/>
        <v>0</v>
      </c>
      <c r="AE93" s="80"/>
      <c r="AF93" s="78">
        <f t="shared" si="43"/>
        <v>0</v>
      </c>
      <c r="AG93" s="79"/>
      <c r="AH93" s="78">
        <f t="shared" si="44"/>
        <v>0</v>
      </c>
      <c r="AI93" s="80"/>
      <c r="AJ93" s="78">
        <f t="shared" si="45"/>
        <v>0</v>
      </c>
      <c r="AK93" s="80"/>
      <c r="AL93" s="78">
        <f t="shared" si="46"/>
        <v>0</v>
      </c>
      <c r="AM93" s="80"/>
      <c r="AN93" s="78">
        <f t="shared" si="47"/>
        <v>0</v>
      </c>
      <c r="AO93" s="80"/>
      <c r="AP93" s="78">
        <f t="shared" si="48"/>
        <v>0</v>
      </c>
      <c r="AQ93" s="80"/>
      <c r="AR93" s="78">
        <f t="shared" si="49"/>
        <v>0</v>
      </c>
      <c r="AS93" s="80"/>
      <c r="AT93" s="78">
        <f t="shared" si="50"/>
        <v>0</v>
      </c>
      <c r="AU93" s="80"/>
      <c r="AV93" s="78">
        <f t="shared" si="51"/>
        <v>0</v>
      </c>
      <c r="AW93" s="80"/>
      <c r="AX93" s="78">
        <f t="shared" si="52"/>
        <v>0</v>
      </c>
      <c r="AY93" s="80"/>
      <c r="AZ93" s="78">
        <f t="shared" si="53"/>
        <v>0</v>
      </c>
      <c r="BA93" s="80"/>
      <c r="BB93" s="78">
        <f t="shared" si="54"/>
        <v>0</v>
      </c>
      <c r="BC93" s="80"/>
      <c r="BD93" s="78">
        <f t="shared" si="55"/>
        <v>0</v>
      </c>
      <c r="BE93" s="80"/>
      <c r="BF93" s="78">
        <f t="shared" si="56"/>
        <v>0</v>
      </c>
      <c r="BG93" s="80"/>
      <c r="BH93" s="78">
        <f t="shared" si="57"/>
        <v>0</v>
      </c>
      <c r="BI93" s="80"/>
      <c r="BJ93" s="78">
        <f t="shared" si="58"/>
        <v>0</v>
      </c>
      <c r="BK93" s="80"/>
      <c r="BL93" s="78">
        <f t="shared" si="59"/>
        <v>0</v>
      </c>
      <c r="BM93" s="80"/>
      <c r="BN93" s="78">
        <f t="shared" si="60"/>
        <v>0</v>
      </c>
      <c r="BO93" s="80"/>
      <c r="BP93" s="78">
        <f t="shared" si="61"/>
        <v>0</v>
      </c>
      <c r="BQ93" s="80"/>
      <c r="BR93" s="78">
        <f t="shared" si="63"/>
        <v>0</v>
      </c>
      <c r="BS93" s="73"/>
      <c r="BT93" s="81">
        <f t="shared" si="62"/>
        <v>0</v>
      </c>
      <c r="BU93" s="81"/>
      <c r="BV93" s="81"/>
      <c r="BW93" s="81"/>
      <c r="BX93" s="81">
        <f t="shared" si="32"/>
        <v>9170.7890625</v>
      </c>
    </row>
    <row r="94" spans="1:76" s="82" customFormat="1" x14ac:dyDescent="0.3">
      <c r="A94" s="73">
        <v>63542</v>
      </c>
      <c r="B94" s="74" t="s">
        <v>197</v>
      </c>
      <c r="C94" s="74" t="s">
        <v>39</v>
      </c>
      <c r="D94" s="74" t="s">
        <v>198</v>
      </c>
      <c r="E94" s="74" t="str">
        <f>INDEX('[1]Branch code'!F:F,MATCH(D94,'[1]Branch code'!D:D,0))</f>
        <v xml:space="preserve"> Basic Brands Phils., Inc.</v>
      </c>
      <c r="F94" s="75" t="str">
        <f>INDEX('[1]Region rate'!B:B,MATCH(D94,'[1]Region rate'!A:A,0))</f>
        <v>NCR</v>
      </c>
      <c r="G94" s="76">
        <f>INDEX('[1]Region rate'!C:C,MATCH(F94,'[1]Region rate'!B:B,0))</f>
        <v>789.10576923076928</v>
      </c>
      <c r="H94" s="77">
        <f t="shared" si="33"/>
        <v>98.63822115384616</v>
      </c>
      <c r="I94" s="78"/>
      <c r="J94" s="78"/>
      <c r="K94" s="79"/>
      <c r="L94" s="79">
        <f>INDEX([1]Allowance!B:B,MATCH(F94,[1]Allowance!A:A,0))</f>
        <v>50</v>
      </c>
      <c r="M94" s="79"/>
      <c r="N94" s="79"/>
      <c r="O94" s="79"/>
      <c r="P94" s="79">
        <v>112</v>
      </c>
      <c r="Q94" s="78">
        <f t="shared" si="34"/>
        <v>11047.48076923077</v>
      </c>
      <c r="R94" s="78">
        <f t="shared" si="35"/>
        <v>700</v>
      </c>
      <c r="S94" s="78">
        <f t="shared" si="36"/>
        <v>0</v>
      </c>
      <c r="T94" s="78">
        <f t="shared" si="37"/>
        <v>0</v>
      </c>
      <c r="U94" s="79"/>
      <c r="V94" s="78">
        <f t="shared" si="38"/>
        <v>0</v>
      </c>
      <c r="W94" s="80"/>
      <c r="X94" s="80">
        <f t="shared" si="39"/>
        <v>0</v>
      </c>
      <c r="Y94" s="79"/>
      <c r="Z94" s="78">
        <f t="shared" si="40"/>
        <v>0</v>
      </c>
      <c r="AA94" s="80"/>
      <c r="AB94" s="78">
        <f t="shared" si="41"/>
        <v>0</v>
      </c>
      <c r="AC94" s="79"/>
      <c r="AD94" s="78">
        <f t="shared" si="42"/>
        <v>0</v>
      </c>
      <c r="AE94" s="80"/>
      <c r="AF94" s="78">
        <f t="shared" si="43"/>
        <v>0</v>
      </c>
      <c r="AG94" s="79"/>
      <c r="AH94" s="78">
        <f t="shared" si="44"/>
        <v>0</v>
      </c>
      <c r="AI94" s="80"/>
      <c r="AJ94" s="78">
        <f t="shared" si="45"/>
        <v>0</v>
      </c>
      <c r="AK94" s="80"/>
      <c r="AL94" s="78">
        <f t="shared" si="46"/>
        <v>0</v>
      </c>
      <c r="AM94" s="80"/>
      <c r="AN94" s="78">
        <f t="shared" si="47"/>
        <v>0</v>
      </c>
      <c r="AO94" s="80"/>
      <c r="AP94" s="78">
        <f t="shared" si="48"/>
        <v>0</v>
      </c>
      <c r="AQ94" s="80"/>
      <c r="AR94" s="78">
        <f t="shared" si="49"/>
        <v>0</v>
      </c>
      <c r="AS94" s="80"/>
      <c r="AT94" s="78">
        <f t="shared" si="50"/>
        <v>0</v>
      </c>
      <c r="AU94" s="80"/>
      <c r="AV94" s="78">
        <f t="shared" si="51"/>
        <v>0</v>
      </c>
      <c r="AW94" s="80"/>
      <c r="AX94" s="78">
        <f t="shared" si="52"/>
        <v>0</v>
      </c>
      <c r="AY94" s="80"/>
      <c r="AZ94" s="78">
        <f t="shared" si="53"/>
        <v>0</v>
      </c>
      <c r="BA94" s="80"/>
      <c r="BB94" s="78">
        <f t="shared" si="54"/>
        <v>0</v>
      </c>
      <c r="BC94" s="80"/>
      <c r="BD94" s="78">
        <f t="shared" si="55"/>
        <v>0</v>
      </c>
      <c r="BE94" s="80"/>
      <c r="BF94" s="78">
        <f t="shared" si="56"/>
        <v>0</v>
      </c>
      <c r="BG94" s="80"/>
      <c r="BH94" s="78">
        <f t="shared" si="57"/>
        <v>0</v>
      </c>
      <c r="BI94" s="80"/>
      <c r="BJ94" s="78">
        <f t="shared" si="58"/>
        <v>0</v>
      </c>
      <c r="BK94" s="80"/>
      <c r="BL94" s="78">
        <f t="shared" si="59"/>
        <v>0</v>
      </c>
      <c r="BM94" s="80"/>
      <c r="BN94" s="78">
        <f t="shared" si="60"/>
        <v>0</v>
      </c>
      <c r="BO94" s="80"/>
      <c r="BP94" s="78">
        <f t="shared" si="61"/>
        <v>0</v>
      </c>
      <c r="BQ94" s="80"/>
      <c r="BR94" s="78">
        <f t="shared" si="63"/>
        <v>0</v>
      </c>
      <c r="BS94" s="73"/>
      <c r="BT94" s="81">
        <f t="shared" si="62"/>
        <v>0</v>
      </c>
      <c r="BU94" s="81"/>
      <c r="BV94" s="81"/>
      <c r="BW94" s="81"/>
      <c r="BX94" s="81">
        <f t="shared" si="32"/>
        <v>11047.48076923077</v>
      </c>
    </row>
    <row r="95" spans="1:76" s="82" customFormat="1" x14ac:dyDescent="0.3">
      <c r="A95" s="73">
        <v>38158</v>
      </c>
      <c r="B95" s="85" t="s">
        <v>199</v>
      </c>
      <c r="C95" s="74" t="s">
        <v>60</v>
      </c>
      <c r="D95" s="74" t="s">
        <v>200</v>
      </c>
      <c r="E95" s="87" t="str">
        <f>INDEX('[1]Branch code'!F:F,MATCH(D95,'[1]Branch code'!D:D,0))</f>
        <v xml:space="preserve"> Executive Optical, Inc.</v>
      </c>
      <c r="F95" s="75" t="str">
        <f>INDEX('[1]Region rate'!B:B,MATCH(D95,'[1]Region rate'!A:A,0))</f>
        <v>NCR</v>
      </c>
      <c r="G95" s="76">
        <f>INDEX('[1]Region rate'!C:C,MATCH(F95,'[1]Region rate'!B:B,0))</f>
        <v>789.10576923076928</v>
      </c>
      <c r="H95" s="77">
        <f t="shared" si="33"/>
        <v>98.63822115384616</v>
      </c>
      <c r="I95" s="78"/>
      <c r="J95" s="78"/>
      <c r="K95" s="79">
        <v>24</v>
      </c>
      <c r="L95" s="79">
        <f>INDEX([1]Allowance!B:B,MATCH(F95,[1]Allowance!A:A,0))</f>
        <v>50</v>
      </c>
      <c r="M95" s="79"/>
      <c r="N95" s="79"/>
      <c r="O95" s="79"/>
      <c r="P95" s="79">
        <v>88</v>
      </c>
      <c r="Q95" s="78">
        <f t="shared" si="34"/>
        <v>8680.1634615384628</v>
      </c>
      <c r="R95" s="78">
        <f t="shared" si="35"/>
        <v>550</v>
      </c>
      <c r="S95" s="78">
        <f t="shared" si="36"/>
        <v>0</v>
      </c>
      <c r="T95" s="78">
        <f t="shared" si="37"/>
        <v>0</v>
      </c>
      <c r="U95" s="79"/>
      <c r="V95" s="78">
        <f t="shared" si="38"/>
        <v>0</v>
      </c>
      <c r="W95" s="80"/>
      <c r="X95" s="80">
        <f t="shared" si="39"/>
        <v>0</v>
      </c>
      <c r="Y95" s="79">
        <v>3</v>
      </c>
      <c r="Z95" s="78">
        <f t="shared" si="40"/>
        <v>369.89332932692309</v>
      </c>
      <c r="AA95" s="80"/>
      <c r="AB95" s="78">
        <f t="shared" si="41"/>
        <v>0</v>
      </c>
      <c r="AC95" s="79"/>
      <c r="AD95" s="78">
        <f t="shared" si="42"/>
        <v>0</v>
      </c>
      <c r="AE95" s="80"/>
      <c r="AF95" s="78">
        <f t="shared" si="43"/>
        <v>0</v>
      </c>
      <c r="AG95" s="79"/>
      <c r="AH95" s="78">
        <f t="shared" si="44"/>
        <v>0</v>
      </c>
      <c r="AI95" s="80"/>
      <c r="AJ95" s="78">
        <f t="shared" si="45"/>
        <v>0</v>
      </c>
      <c r="AK95" s="80"/>
      <c r="AL95" s="78">
        <f t="shared" si="46"/>
        <v>0</v>
      </c>
      <c r="AM95" s="80"/>
      <c r="AN95" s="78">
        <f t="shared" si="47"/>
        <v>0</v>
      </c>
      <c r="AO95" s="80"/>
      <c r="AP95" s="78">
        <f t="shared" si="48"/>
        <v>0</v>
      </c>
      <c r="AQ95" s="80"/>
      <c r="AR95" s="78">
        <f t="shared" si="49"/>
        <v>0</v>
      </c>
      <c r="AS95" s="80"/>
      <c r="AT95" s="78">
        <f t="shared" si="50"/>
        <v>0</v>
      </c>
      <c r="AU95" s="80"/>
      <c r="AV95" s="78">
        <f t="shared" si="51"/>
        <v>0</v>
      </c>
      <c r="AW95" s="80"/>
      <c r="AX95" s="78">
        <f t="shared" si="52"/>
        <v>0</v>
      </c>
      <c r="AY95" s="80"/>
      <c r="AZ95" s="78">
        <f t="shared" si="53"/>
        <v>0</v>
      </c>
      <c r="BA95" s="80"/>
      <c r="BB95" s="78">
        <f t="shared" si="54"/>
        <v>0</v>
      </c>
      <c r="BC95" s="80"/>
      <c r="BD95" s="78">
        <f t="shared" si="55"/>
        <v>0</v>
      </c>
      <c r="BE95" s="80"/>
      <c r="BF95" s="78">
        <f t="shared" si="56"/>
        <v>0</v>
      </c>
      <c r="BG95" s="80"/>
      <c r="BH95" s="78">
        <f t="shared" si="57"/>
        <v>0</v>
      </c>
      <c r="BI95" s="80"/>
      <c r="BJ95" s="78">
        <f t="shared" si="58"/>
        <v>0</v>
      </c>
      <c r="BK95" s="80"/>
      <c r="BL95" s="78">
        <f t="shared" si="59"/>
        <v>0</v>
      </c>
      <c r="BM95" s="80"/>
      <c r="BN95" s="78">
        <f t="shared" si="60"/>
        <v>0</v>
      </c>
      <c r="BO95" s="80"/>
      <c r="BP95" s="78">
        <f t="shared" si="61"/>
        <v>0</v>
      </c>
      <c r="BQ95" s="80"/>
      <c r="BR95" s="78">
        <f t="shared" si="63"/>
        <v>0</v>
      </c>
      <c r="BS95" s="73"/>
      <c r="BT95" s="81">
        <f t="shared" si="62"/>
        <v>0</v>
      </c>
      <c r="BU95" s="81"/>
      <c r="BV95" s="81"/>
      <c r="BW95" s="81"/>
      <c r="BX95" s="81">
        <f t="shared" si="32"/>
        <v>9050.0567908653866</v>
      </c>
    </row>
    <row r="96" spans="1:76" s="82" customFormat="1" x14ac:dyDescent="0.3">
      <c r="A96" s="73">
        <v>64391</v>
      </c>
      <c r="B96" s="74" t="s">
        <v>201</v>
      </c>
      <c r="C96" s="74" t="s">
        <v>60</v>
      </c>
      <c r="D96" s="74" t="s">
        <v>202</v>
      </c>
      <c r="E96" s="74" t="str">
        <f>INDEX('[1]Branch code'!F:F,MATCH(D96,'[1]Branch code'!D:D,0))</f>
        <v xml:space="preserve"> VueConcepts, Inc.</v>
      </c>
      <c r="F96" s="75" t="str">
        <f>INDEX('[1]Region rate'!B:B,MATCH(D96,'[1]Region rate'!A:A,0))</f>
        <v>NCR</v>
      </c>
      <c r="G96" s="76">
        <f>INDEX('[1]Region rate'!C:C,MATCH(F96,'[1]Region rate'!B:B,0))</f>
        <v>789.10576923076928</v>
      </c>
      <c r="H96" s="77">
        <f t="shared" si="33"/>
        <v>98.63822115384616</v>
      </c>
      <c r="I96" s="78">
        <v>0.22</v>
      </c>
      <c r="J96" s="78">
        <v>4</v>
      </c>
      <c r="K96" s="79"/>
      <c r="L96" s="79">
        <f>INDEX([1]Allowance!B:B,MATCH(F96,[1]Allowance!A:A,0))</f>
        <v>50</v>
      </c>
      <c r="M96" s="79"/>
      <c r="N96" s="79"/>
      <c r="O96" s="79"/>
      <c r="P96" s="79">
        <v>99.78</v>
      </c>
      <c r="Q96" s="78">
        <f t="shared" si="34"/>
        <v>9842.1217067307698</v>
      </c>
      <c r="R96" s="78">
        <f t="shared" si="35"/>
        <v>623.625</v>
      </c>
      <c r="S96" s="78">
        <f t="shared" si="36"/>
        <v>0</v>
      </c>
      <c r="T96" s="78">
        <f t="shared" si="37"/>
        <v>0</v>
      </c>
      <c r="U96" s="79"/>
      <c r="V96" s="78">
        <f t="shared" si="38"/>
        <v>0</v>
      </c>
      <c r="W96" s="80"/>
      <c r="X96" s="80">
        <f t="shared" si="39"/>
        <v>0</v>
      </c>
      <c r="Y96" s="79">
        <v>6</v>
      </c>
      <c r="Z96" s="78">
        <f t="shared" si="40"/>
        <v>739.78665865384619</v>
      </c>
      <c r="AA96" s="80"/>
      <c r="AB96" s="78">
        <f t="shared" si="41"/>
        <v>0</v>
      </c>
      <c r="AC96" s="79"/>
      <c r="AD96" s="78">
        <f t="shared" si="42"/>
        <v>0</v>
      </c>
      <c r="AE96" s="80"/>
      <c r="AF96" s="78">
        <f t="shared" si="43"/>
        <v>0</v>
      </c>
      <c r="AG96" s="79"/>
      <c r="AH96" s="78">
        <f t="shared" si="44"/>
        <v>0</v>
      </c>
      <c r="AI96" s="80"/>
      <c r="AJ96" s="78">
        <f t="shared" si="45"/>
        <v>0</v>
      </c>
      <c r="AK96" s="80"/>
      <c r="AL96" s="78">
        <f t="shared" si="46"/>
        <v>0</v>
      </c>
      <c r="AM96" s="80"/>
      <c r="AN96" s="78">
        <f t="shared" si="47"/>
        <v>0</v>
      </c>
      <c r="AO96" s="80"/>
      <c r="AP96" s="78">
        <f t="shared" si="48"/>
        <v>0</v>
      </c>
      <c r="AQ96" s="80"/>
      <c r="AR96" s="78">
        <f t="shared" si="49"/>
        <v>0</v>
      </c>
      <c r="AS96" s="80"/>
      <c r="AT96" s="78">
        <f t="shared" si="50"/>
        <v>0</v>
      </c>
      <c r="AU96" s="80"/>
      <c r="AV96" s="78">
        <f t="shared" si="51"/>
        <v>0</v>
      </c>
      <c r="AW96" s="80"/>
      <c r="AX96" s="78">
        <f t="shared" si="52"/>
        <v>0</v>
      </c>
      <c r="AY96" s="80"/>
      <c r="AZ96" s="78">
        <f t="shared" si="53"/>
        <v>0</v>
      </c>
      <c r="BA96" s="80"/>
      <c r="BB96" s="78">
        <f t="shared" si="54"/>
        <v>0</v>
      </c>
      <c r="BC96" s="80"/>
      <c r="BD96" s="78">
        <f t="shared" si="55"/>
        <v>0</v>
      </c>
      <c r="BE96" s="80"/>
      <c r="BF96" s="78">
        <f t="shared" si="56"/>
        <v>0</v>
      </c>
      <c r="BG96" s="80"/>
      <c r="BH96" s="78">
        <f t="shared" si="57"/>
        <v>0</v>
      </c>
      <c r="BI96" s="80"/>
      <c r="BJ96" s="78">
        <f t="shared" si="58"/>
        <v>0</v>
      </c>
      <c r="BK96" s="80"/>
      <c r="BL96" s="78">
        <f t="shared" si="59"/>
        <v>0</v>
      </c>
      <c r="BM96" s="80"/>
      <c r="BN96" s="78">
        <f t="shared" si="60"/>
        <v>0</v>
      </c>
      <c r="BO96" s="80"/>
      <c r="BP96" s="78">
        <f t="shared" si="61"/>
        <v>0</v>
      </c>
      <c r="BQ96" s="80"/>
      <c r="BR96" s="78">
        <f t="shared" si="63"/>
        <v>0</v>
      </c>
      <c r="BS96" s="73"/>
      <c r="BT96" s="81">
        <f t="shared" si="62"/>
        <v>0</v>
      </c>
      <c r="BU96" s="81"/>
      <c r="BV96" s="81"/>
      <c r="BW96" s="81"/>
      <c r="BX96" s="81">
        <f t="shared" si="32"/>
        <v>10581.908365384616</v>
      </c>
    </row>
    <row r="97" spans="1:76" s="82" customFormat="1" x14ac:dyDescent="0.3">
      <c r="A97" s="73">
        <v>37287</v>
      </c>
      <c r="B97" s="74" t="s">
        <v>203</v>
      </c>
      <c r="C97" s="74" t="s">
        <v>39</v>
      </c>
      <c r="D97" s="74" t="s">
        <v>204</v>
      </c>
      <c r="E97" s="74" t="str">
        <f>INDEX('[1]Branch code'!F:F,MATCH(D97,'[1]Branch code'!D:D,0))</f>
        <v xml:space="preserve"> Basic Brands Phils., Inc.</v>
      </c>
      <c r="F97" s="75" t="str">
        <f>INDEX('[1]Region rate'!B:B,MATCH(D97,'[1]Region rate'!A:A,0))</f>
        <v>NCR</v>
      </c>
      <c r="G97" s="76">
        <f>INDEX('[1]Region rate'!C:C,MATCH(F97,'[1]Region rate'!B:B,0))</f>
        <v>789.10576923076928</v>
      </c>
      <c r="H97" s="77">
        <f t="shared" si="33"/>
        <v>98.63822115384616</v>
      </c>
      <c r="I97" s="78"/>
      <c r="J97" s="78"/>
      <c r="K97" s="79">
        <v>112</v>
      </c>
      <c r="L97" s="79">
        <f>INDEX([1]Allowance!B:B,MATCH(F97,[1]Allowance!A:A,0))</f>
        <v>50</v>
      </c>
      <c r="M97" s="79"/>
      <c r="N97" s="79"/>
      <c r="O97" s="79"/>
      <c r="P97" s="79"/>
      <c r="Q97" s="78">
        <f t="shared" si="34"/>
        <v>0</v>
      </c>
      <c r="R97" s="78">
        <f t="shared" si="35"/>
        <v>0</v>
      </c>
      <c r="S97" s="78">
        <f t="shared" si="36"/>
        <v>0</v>
      </c>
      <c r="T97" s="78">
        <f t="shared" si="37"/>
        <v>0</v>
      </c>
      <c r="U97" s="79"/>
      <c r="V97" s="78">
        <f t="shared" si="38"/>
        <v>0</v>
      </c>
      <c r="W97" s="80"/>
      <c r="X97" s="80">
        <f t="shared" si="39"/>
        <v>0</v>
      </c>
      <c r="Y97" s="79"/>
      <c r="Z97" s="78">
        <f t="shared" si="40"/>
        <v>0</v>
      </c>
      <c r="AA97" s="80"/>
      <c r="AB97" s="78">
        <f t="shared" si="41"/>
        <v>0</v>
      </c>
      <c r="AC97" s="79"/>
      <c r="AD97" s="78">
        <f t="shared" si="42"/>
        <v>0</v>
      </c>
      <c r="AE97" s="80"/>
      <c r="AF97" s="78">
        <f t="shared" si="43"/>
        <v>0</v>
      </c>
      <c r="AG97" s="79"/>
      <c r="AH97" s="78">
        <f t="shared" si="44"/>
        <v>0</v>
      </c>
      <c r="AI97" s="80"/>
      <c r="AJ97" s="78">
        <f t="shared" si="45"/>
        <v>0</v>
      </c>
      <c r="AK97" s="80"/>
      <c r="AL97" s="78">
        <f t="shared" si="46"/>
        <v>0</v>
      </c>
      <c r="AM97" s="80"/>
      <c r="AN97" s="78">
        <f t="shared" si="47"/>
        <v>0</v>
      </c>
      <c r="AO97" s="80"/>
      <c r="AP97" s="78">
        <f t="shared" si="48"/>
        <v>0</v>
      </c>
      <c r="AQ97" s="80"/>
      <c r="AR97" s="78">
        <f t="shared" si="49"/>
        <v>0</v>
      </c>
      <c r="AS97" s="80"/>
      <c r="AT97" s="78">
        <f t="shared" si="50"/>
        <v>0</v>
      </c>
      <c r="AU97" s="80"/>
      <c r="AV97" s="78">
        <f t="shared" si="51"/>
        <v>0</v>
      </c>
      <c r="AW97" s="80"/>
      <c r="AX97" s="78">
        <f t="shared" si="52"/>
        <v>0</v>
      </c>
      <c r="AY97" s="80"/>
      <c r="AZ97" s="78">
        <f t="shared" si="53"/>
        <v>0</v>
      </c>
      <c r="BA97" s="80"/>
      <c r="BB97" s="78">
        <f t="shared" si="54"/>
        <v>0</v>
      </c>
      <c r="BC97" s="80"/>
      <c r="BD97" s="78">
        <f t="shared" si="55"/>
        <v>0</v>
      </c>
      <c r="BE97" s="80"/>
      <c r="BF97" s="78">
        <f t="shared" si="56"/>
        <v>0</v>
      </c>
      <c r="BG97" s="80"/>
      <c r="BH97" s="78">
        <f t="shared" si="57"/>
        <v>0</v>
      </c>
      <c r="BI97" s="80"/>
      <c r="BJ97" s="78">
        <f t="shared" si="58"/>
        <v>0</v>
      </c>
      <c r="BK97" s="80"/>
      <c r="BL97" s="78">
        <f t="shared" si="59"/>
        <v>0</v>
      </c>
      <c r="BM97" s="80"/>
      <c r="BN97" s="78">
        <f t="shared" si="60"/>
        <v>0</v>
      </c>
      <c r="BO97" s="80"/>
      <c r="BP97" s="78">
        <f t="shared" si="61"/>
        <v>0</v>
      </c>
      <c r="BQ97" s="80"/>
      <c r="BR97" s="78">
        <f t="shared" si="63"/>
        <v>0</v>
      </c>
      <c r="BS97" s="73"/>
      <c r="BT97" s="81">
        <f t="shared" si="62"/>
        <v>0</v>
      </c>
      <c r="BU97" s="81"/>
      <c r="BV97" s="81"/>
      <c r="BW97" s="81"/>
      <c r="BX97" s="81">
        <f t="shared" si="32"/>
        <v>0</v>
      </c>
    </row>
    <row r="98" spans="1:76" s="82" customFormat="1" x14ac:dyDescent="0.3">
      <c r="A98" s="73">
        <v>64695</v>
      </c>
      <c r="B98" s="74" t="s">
        <v>205</v>
      </c>
      <c r="C98" s="74" t="s">
        <v>39</v>
      </c>
      <c r="D98" s="74" t="s">
        <v>206</v>
      </c>
      <c r="E98" s="74" t="str">
        <f>INDEX('[1]Branch code'!F:F,MATCH(D98,'[1]Branch code'!D:D,0))</f>
        <v xml:space="preserve"> Sight Testers, Inc.</v>
      </c>
      <c r="F98" s="75" t="str">
        <f>INDEX('[1]Region rate'!B:B,MATCH(D98,'[1]Region rate'!A:A,0))</f>
        <v>4A2</v>
      </c>
      <c r="G98" s="76">
        <f>INDEX('[1]Region rate'!C:C,MATCH(F98,'[1]Region rate'!B:B,0))</f>
        <v>636.33333333333337</v>
      </c>
      <c r="H98" s="77">
        <f t="shared" si="33"/>
        <v>79.541666666666671</v>
      </c>
      <c r="I98" s="78"/>
      <c r="J98" s="78"/>
      <c r="K98" s="79">
        <v>112</v>
      </c>
      <c r="L98" s="79">
        <f>INDEX([1]Allowance!B:B,MATCH(F98,[1]Allowance!A:A,0))</f>
        <v>125</v>
      </c>
      <c r="M98" s="79"/>
      <c r="N98" s="79"/>
      <c r="O98" s="79"/>
      <c r="P98" s="79"/>
      <c r="Q98" s="78">
        <f t="shared" si="34"/>
        <v>0</v>
      </c>
      <c r="R98" s="78">
        <f t="shared" si="35"/>
        <v>0</v>
      </c>
      <c r="S98" s="78">
        <f t="shared" si="36"/>
        <v>0</v>
      </c>
      <c r="T98" s="78">
        <f t="shared" si="37"/>
        <v>0</v>
      </c>
      <c r="U98" s="79"/>
      <c r="V98" s="78">
        <f t="shared" si="38"/>
        <v>0</v>
      </c>
      <c r="W98" s="80"/>
      <c r="X98" s="80">
        <f t="shared" si="39"/>
        <v>0</v>
      </c>
      <c r="Y98" s="79"/>
      <c r="Z98" s="78">
        <f t="shared" si="40"/>
        <v>0</v>
      </c>
      <c r="AA98" s="80"/>
      <c r="AB98" s="78">
        <f t="shared" si="41"/>
        <v>0</v>
      </c>
      <c r="AC98" s="79"/>
      <c r="AD98" s="78">
        <f t="shared" si="42"/>
        <v>0</v>
      </c>
      <c r="AE98" s="80"/>
      <c r="AF98" s="78">
        <f t="shared" si="43"/>
        <v>0</v>
      </c>
      <c r="AG98" s="79"/>
      <c r="AH98" s="78">
        <f t="shared" si="44"/>
        <v>0</v>
      </c>
      <c r="AI98" s="80"/>
      <c r="AJ98" s="78">
        <f t="shared" si="45"/>
        <v>0</v>
      </c>
      <c r="AK98" s="80"/>
      <c r="AL98" s="78">
        <f t="shared" si="46"/>
        <v>0</v>
      </c>
      <c r="AM98" s="80"/>
      <c r="AN98" s="78">
        <f t="shared" si="47"/>
        <v>0</v>
      </c>
      <c r="AO98" s="80"/>
      <c r="AP98" s="78">
        <f t="shared" si="48"/>
        <v>0</v>
      </c>
      <c r="AQ98" s="80"/>
      <c r="AR98" s="78">
        <f t="shared" si="49"/>
        <v>0</v>
      </c>
      <c r="AS98" s="80"/>
      <c r="AT98" s="78">
        <f t="shared" si="50"/>
        <v>0</v>
      </c>
      <c r="AU98" s="80"/>
      <c r="AV98" s="78">
        <f t="shared" si="51"/>
        <v>0</v>
      </c>
      <c r="AW98" s="80"/>
      <c r="AX98" s="78">
        <f t="shared" si="52"/>
        <v>0</v>
      </c>
      <c r="AY98" s="80"/>
      <c r="AZ98" s="78">
        <f t="shared" si="53"/>
        <v>0</v>
      </c>
      <c r="BA98" s="80"/>
      <c r="BB98" s="78">
        <f t="shared" si="54"/>
        <v>0</v>
      </c>
      <c r="BC98" s="80"/>
      <c r="BD98" s="78">
        <f t="shared" si="55"/>
        <v>0</v>
      </c>
      <c r="BE98" s="80"/>
      <c r="BF98" s="78">
        <f t="shared" si="56"/>
        <v>0</v>
      </c>
      <c r="BG98" s="80"/>
      <c r="BH98" s="78">
        <f t="shared" si="57"/>
        <v>0</v>
      </c>
      <c r="BI98" s="80"/>
      <c r="BJ98" s="78">
        <f t="shared" si="58"/>
        <v>0</v>
      </c>
      <c r="BK98" s="80"/>
      <c r="BL98" s="78">
        <f t="shared" si="59"/>
        <v>0</v>
      </c>
      <c r="BM98" s="80"/>
      <c r="BN98" s="78">
        <f t="shared" si="60"/>
        <v>0</v>
      </c>
      <c r="BO98" s="80"/>
      <c r="BP98" s="78">
        <f t="shared" si="61"/>
        <v>0</v>
      </c>
      <c r="BQ98" s="80"/>
      <c r="BR98" s="78">
        <f t="shared" si="63"/>
        <v>0</v>
      </c>
      <c r="BS98" s="73"/>
      <c r="BT98" s="81">
        <f t="shared" si="62"/>
        <v>0</v>
      </c>
      <c r="BU98" s="81"/>
      <c r="BV98" s="81"/>
      <c r="BW98" s="81"/>
      <c r="BX98" s="81">
        <f t="shared" si="32"/>
        <v>0</v>
      </c>
    </row>
    <row r="99" spans="1:76" s="82" customFormat="1" x14ac:dyDescent="0.3">
      <c r="A99" s="73">
        <v>37567</v>
      </c>
      <c r="B99" s="74" t="s">
        <v>207</v>
      </c>
      <c r="C99" s="74" t="s">
        <v>68</v>
      </c>
      <c r="D99" s="74" t="s">
        <v>208</v>
      </c>
      <c r="E99" s="74" t="str">
        <f>INDEX('[1]Branch code'!F:F,MATCH(D99,'[1]Branch code'!D:D,0))</f>
        <v xml:space="preserve"> Sight Testers, Inc.</v>
      </c>
      <c r="F99" s="75">
        <f>INDEX('[1]Region rate'!B:B,MATCH(D99,'[1]Region rate'!A:A,0))</f>
        <v>3</v>
      </c>
      <c r="G99" s="76">
        <f>INDEX('[1]Region rate'!C:C,MATCH(F99,'[1]Region rate'!B:B,0))</f>
        <v>641.875</v>
      </c>
      <c r="H99" s="77">
        <f t="shared" si="33"/>
        <v>80.234375</v>
      </c>
      <c r="I99" s="78"/>
      <c r="J99" s="78"/>
      <c r="K99" s="79">
        <v>8</v>
      </c>
      <c r="L99" s="79">
        <f>INDEX([1]Allowance!B:B,MATCH(F99,[1]Allowance!A:A,0))</f>
        <v>120</v>
      </c>
      <c r="M99" s="79"/>
      <c r="N99" s="79"/>
      <c r="O99" s="79"/>
      <c r="P99" s="79">
        <v>104</v>
      </c>
      <c r="Q99" s="78">
        <f t="shared" si="34"/>
        <v>8344.375</v>
      </c>
      <c r="R99" s="78">
        <f t="shared" si="35"/>
        <v>1560</v>
      </c>
      <c r="S99" s="78">
        <f t="shared" si="36"/>
        <v>0</v>
      </c>
      <c r="T99" s="78">
        <f t="shared" si="37"/>
        <v>0</v>
      </c>
      <c r="U99" s="79"/>
      <c r="V99" s="78">
        <f t="shared" si="38"/>
        <v>0</v>
      </c>
      <c r="W99" s="80"/>
      <c r="X99" s="80">
        <f t="shared" si="39"/>
        <v>0</v>
      </c>
      <c r="Y99" s="79">
        <v>2.0333000000000001</v>
      </c>
      <c r="Z99" s="78">
        <f t="shared" si="40"/>
        <v>203.925693359375</v>
      </c>
      <c r="AA99" s="80"/>
      <c r="AB99" s="78">
        <f t="shared" si="41"/>
        <v>0</v>
      </c>
      <c r="AC99" s="79"/>
      <c r="AD99" s="78">
        <f t="shared" si="42"/>
        <v>0</v>
      </c>
      <c r="AE99" s="80"/>
      <c r="AF99" s="78">
        <f t="shared" si="43"/>
        <v>0</v>
      </c>
      <c r="AG99" s="79"/>
      <c r="AH99" s="78">
        <f t="shared" si="44"/>
        <v>0</v>
      </c>
      <c r="AI99" s="80"/>
      <c r="AJ99" s="78">
        <f t="shared" si="45"/>
        <v>0</v>
      </c>
      <c r="AK99" s="80"/>
      <c r="AL99" s="78">
        <f t="shared" si="46"/>
        <v>0</v>
      </c>
      <c r="AM99" s="80"/>
      <c r="AN99" s="78">
        <f t="shared" si="47"/>
        <v>0</v>
      </c>
      <c r="AO99" s="80"/>
      <c r="AP99" s="78">
        <f t="shared" si="48"/>
        <v>0</v>
      </c>
      <c r="AQ99" s="80"/>
      <c r="AR99" s="78">
        <f t="shared" si="49"/>
        <v>0</v>
      </c>
      <c r="AS99" s="80"/>
      <c r="AT99" s="78">
        <f t="shared" si="50"/>
        <v>0</v>
      </c>
      <c r="AU99" s="80"/>
      <c r="AV99" s="78">
        <f t="shared" si="51"/>
        <v>0</v>
      </c>
      <c r="AW99" s="80"/>
      <c r="AX99" s="78">
        <f t="shared" si="52"/>
        <v>0</v>
      </c>
      <c r="AY99" s="80"/>
      <c r="AZ99" s="78">
        <f t="shared" si="53"/>
        <v>0</v>
      </c>
      <c r="BA99" s="80"/>
      <c r="BB99" s="78">
        <f t="shared" si="54"/>
        <v>0</v>
      </c>
      <c r="BC99" s="80"/>
      <c r="BD99" s="78">
        <f t="shared" si="55"/>
        <v>0</v>
      </c>
      <c r="BE99" s="80"/>
      <c r="BF99" s="78">
        <f t="shared" si="56"/>
        <v>0</v>
      </c>
      <c r="BG99" s="80"/>
      <c r="BH99" s="78">
        <f t="shared" si="57"/>
        <v>0</v>
      </c>
      <c r="BI99" s="80"/>
      <c r="BJ99" s="78">
        <f t="shared" si="58"/>
        <v>0</v>
      </c>
      <c r="BK99" s="80"/>
      <c r="BL99" s="78">
        <f t="shared" si="59"/>
        <v>0</v>
      </c>
      <c r="BM99" s="80"/>
      <c r="BN99" s="78">
        <f t="shared" si="60"/>
        <v>0</v>
      </c>
      <c r="BO99" s="80"/>
      <c r="BP99" s="78">
        <f t="shared" si="61"/>
        <v>0</v>
      </c>
      <c r="BQ99" s="80"/>
      <c r="BR99" s="78">
        <f t="shared" si="63"/>
        <v>0</v>
      </c>
      <c r="BS99" s="73"/>
      <c r="BT99" s="81">
        <f t="shared" si="62"/>
        <v>0</v>
      </c>
      <c r="BU99" s="81"/>
      <c r="BV99" s="81"/>
      <c r="BW99" s="81"/>
      <c r="BX99" s="81">
        <f t="shared" si="32"/>
        <v>8548.3006933593751</v>
      </c>
    </row>
    <row r="100" spans="1:76" s="82" customFormat="1" x14ac:dyDescent="0.3">
      <c r="A100" s="73">
        <v>37770</v>
      </c>
      <c r="B100" s="83" t="s">
        <v>209</v>
      </c>
      <c r="C100" s="74" t="s">
        <v>39</v>
      </c>
      <c r="D100" s="74" t="s">
        <v>210</v>
      </c>
      <c r="E100" s="74" t="str">
        <f>INDEX('[1]Branch code'!F:F,MATCH(D100,'[1]Branch code'!D:D,0))</f>
        <v xml:space="preserve"> Legato Visions, Inc.</v>
      </c>
      <c r="F100" s="75">
        <f>INDEX('[1]Region rate'!B:B,MATCH(D100,'[1]Region rate'!A:A,0))</f>
        <v>3</v>
      </c>
      <c r="G100" s="76">
        <f>INDEX('[1]Region rate'!C:C,MATCH(F100,'[1]Region rate'!B:B,0))</f>
        <v>641.875</v>
      </c>
      <c r="H100" s="77">
        <f t="shared" si="33"/>
        <v>80.234375</v>
      </c>
      <c r="I100" s="78"/>
      <c r="J100" s="78"/>
      <c r="K100" s="79"/>
      <c r="L100" s="79">
        <f>INDEX([1]Allowance!B:B,MATCH(F100,[1]Allowance!A:A,0))</f>
        <v>120</v>
      </c>
      <c r="M100" s="79"/>
      <c r="N100" s="79"/>
      <c r="O100" s="79"/>
      <c r="P100" s="79">
        <v>112</v>
      </c>
      <c r="Q100" s="78">
        <f t="shared" si="34"/>
        <v>8986.25</v>
      </c>
      <c r="R100" s="78">
        <f t="shared" si="35"/>
        <v>1680</v>
      </c>
      <c r="S100" s="78">
        <f t="shared" si="36"/>
        <v>0</v>
      </c>
      <c r="T100" s="78">
        <f t="shared" si="37"/>
        <v>0</v>
      </c>
      <c r="U100" s="79"/>
      <c r="V100" s="78">
        <f t="shared" si="38"/>
        <v>0</v>
      </c>
      <c r="W100" s="80"/>
      <c r="X100" s="80">
        <f t="shared" si="39"/>
        <v>0</v>
      </c>
      <c r="Y100" s="79">
        <v>2</v>
      </c>
      <c r="Z100" s="78">
        <f t="shared" si="40"/>
        <v>200.5859375</v>
      </c>
      <c r="AA100" s="80"/>
      <c r="AB100" s="78">
        <f t="shared" si="41"/>
        <v>0</v>
      </c>
      <c r="AC100" s="79"/>
      <c r="AD100" s="78">
        <f t="shared" si="42"/>
        <v>0</v>
      </c>
      <c r="AE100" s="80"/>
      <c r="AF100" s="78">
        <f t="shared" si="43"/>
        <v>0</v>
      </c>
      <c r="AG100" s="79"/>
      <c r="AH100" s="78">
        <f t="shared" si="44"/>
        <v>0</v>
      </c>
      <c r="AI100" s="80"/>
      <c r="AJ100" s="78">
        <f t="shared" si="45"/>
        <v>0</v>
      </c>
      <c r="AK100" s="80"/>
      <c r="AL100" s="78">
        <f t="shared" si="46"/>
        <v>0</v>
      </c>
      <c r="AM100" s="80"/>
      <c r="AN100" s="78">
        <f t="shared" si="47"/>
        <v>0</v>
      </c>
      <c r="AO100" s="80"/>
      <c r="AP100" s="78">
        <f t="shared" si="48"/>
        <v>0</v>
      </c>
      <c r="AQ100" s="80"/>
      <c r="AR100" s="78">
        <f t="shared" si="49"/>
        <v>0</v>
      </c>
      <c r="AS100" s="80"/>
      <c r="AT100" s="78">
        <f t="shared" si="50"/>
        <v>0</v>
      </c>
      <c r="AU100" s="80"/>
      <c r="AV100" s="78">
        <f t="shared" si="51"/>
        <v>0</v>
      </c>
      <c r="AW100" s="80"/>
      <c r="AX100" s="78">
        <f t="shared" si="52"/>
        <v>0</v>
      </c>
      <c r="AY100" s="80"/>
      <c r="AZ100" s="78">
        <f t="shared" si="53"/>
        <v>0</v>
      </c>
      <c r="BA100" s="80"/>
      <c r="BB100" s="78">
        <f t="shared" si="54"/>
        <v>0</v>
      </c>
      <c r="BC100" s="80"/>
      <c r="BD100" s="78">
        <f t="shared" si="55"/>
        <v>0</v>
      </c>
      <c r="BE100" s="80"/>
      <c r="BF100" s="78">
        <f t="shared" si="56"/>
        <v>0</v>
      </c>
      <c r="BG100" s="80"/>
      <c r="BH100" s="78">
        <f t="shared" si="57"/>
        <v>0</v>
      </c>
      <c r="BI100" s="80"/>
      <c r="BJ100" s="78">
        <f t="shared" si="58"/>
        <v>0</v>
      </c>
      <c r="BK100" s="80"/>
      <c r="BL100" s="78">
        <f t="shared" si="59"/>
        <v>0</v>
      </c>
      <c r="BM100" s="80"/>
      <c r="BN100" s="78">
        <f t="shared" si="60"/>
        <v>0</v>
      </c>
      <c r="BO100" s="80"/>
      <c r="BP100" s="78">
        <f t="shared" si="61"/>
        <v>0</v>
      </c>
      <c r="BQ100" s="80"/>
      <c r="BR100" s="78">
        <f t="shared" si="63"/>
        <v>0</v>
      </c>
      <c r="BS100" s="73"/>
      <c r="BT100" s="81">
        <f t="shared" si="62"/>
        <v>0</v>
      </c>
      <c r="BU100" s="81"/>
      <c r="BV100" s="84">
        <f>H100*BF5*8</f>
        <v>834.4375</v>
      </c>
      <c r="BW100" s="84">
        <f>L100</f>
        <v>120</v>
      </c>
      <c r="BX100" s="81">
        <f t="shared" si="32"/>
        <v>9186.8359375</v>
      </c>
    </row>
    <row r="101" spans="1:76" s="82" customFormat="1" x14ac:dyDescent="0.3">
      <c r="A101" s="73">
        <v>51660</v>
      </c>
      <c r="B101" s="74" t="s">
        <v>211</v>
      </c>
      <c r="C101" s="74" t="s">
        <v>44</v>
      </c>
      <c r="D101" s="74" t="s">
        <v>210</v>
      </c>
      <c r="E101" s="74" t="str">
        <f>INDEX('[1]Branch code'!F:F,MATCH(D101,'[1]Branch code'!D:D,0))</f>
        <v xml:space="preserve"> Legato Visions, Inc.</v>
      </c>
      <c r="F101" s="75">
        <f>INDEX('[1]Region rate'!B:B,MATCH(D101,'[1]Region rate'!A:A,0))</f>
        <v>3</v>
      </c>
      <c r="G101" s="76">
        <v>845.38</v>
      </c>
      <c r="H101" s="77">
        <f t="shared" si="33"/>
        <v>105.6725</v>
      </c>
      <c r="I101" s="78"/>
      <c r="J101" s="78"/>
      <c r="K101" s="79"/>
      <c r="L101" s="79">
        <v>153.84</v>
      </c>
      <c r="M101" s="79"/>
      <c r="N101" s="79"/>
      <c r="O101" s="79"/>
      <c r="P101" s="79">
        <v>112</v>
      </c>
      <c r="Q101" s="78">
        <f t="shared" si="34"/>
        <v>11835.32</v>
      </c>
      <c r="R101" s="78">
        <f t="shared" si="35"/>
        <v>2153.7600000000002</v>
      </c>
      <c r="S101" s="78">
        <f t="shared" si="36"/>
        <v>0</v>
      </c>
      <c r="T101" s="78">
        <f t="shared" si="37"/>
        <v>0</v>
      </c>
      <c r="U101" s="79"/>
      <c r="V101" s="78">
        <f t="shared" si="38"/>
        <v>0</v>
      </c>
      <c r="W101" s="80"/>
      <c r="X101" s="80">
        <f t="shared" si="39"/>
        <v>0</v>
      </c>
      <c r="Y101" s="79"/>
      <c r="Z101" s="78">
        <f t="shared" si="40"/>
        <v>0</v>
      </c>
      <c r="AA101" s="80"/>
      <c r="AB101" s="78">
        <f t="shared" si="41"/>
        <v>0</v>
      </c>
      <c r="AC101" s="79"/>
      <c r="AD101" s="78">
        <f t="shared" si="42"/>
        <v>0</v>
      </c>
      <c r="AE101" s="80"/>
      <c r="AF101" s="78">
        <f t="shared" si="43"/>
        <v>0</v>
      </c>
      <c r="AG101" s="79"/>
      <c r="AH101" s="78">
        <f t="shared" si="44"/>
        <v>0</v>
      </c>
      <c r="AI101" s="80"/>
      <c r="AJ101" s="78">
        <f t="shared" si="45"/>
        <v>0</v>
      </c>
      <c r="AK101" s="80"/>
      <c r="AL101" s="78">
        <f t="shared" si="46"/>
        <v>0</v>
      </c>
      <c r="AM101" s="80"/>
      <c r="AN101" s="78">
        <f t="shared" si="47"/>
        <v>0</v>
      </c>
      <c r="AO101" s="80"/>
      <c r="AP101" s="78">
        <f t="shared" si="48"/>
        <v>0</v>
      </c>
      <c r="AQ101" s="80"/>
      <c r="AR101" s="78">
        <f t="shared" si="49"/>
        <v>0</v>
      </c>
      <c r="AS101" s="80"/>
      <c r="AT101" s="78">
        <f t="shared" si="50"/>
        <v>0</v>
      </c>
      <c r="AU101" s="80"/>
      <c r="AV101" s="78">
        <f t="shared" si="51"/>
        <v>0</v>
      </c>
      <c r="AW101" s="80"/>
      <c r="AX101" s="78">
        <f t="shared" si="52"/>
        <v>0</v>
      </c>
      <c r="AY101" s="80"/>
      <c r="AZ101" s="78">
        <f t="shared" si="53"/>
        <v>0</v>
      </c>
      <c r="BA101" s="80"/>
      <c r="BB101" s="78">
        <f t="shared" si="54"/>
        <v>0</v>
      </c>
      <c r="BC101" s="80"/>
      <c r="BD101" s="78">
        <f t="shared" si="55"/>
        <v>0</v>
      </c>
      <c r="BE101" s="80"/>
      <c r="BF101" s="78">
        <f t="shared" si="56"/>
        <v>0</v>
      </c>
      <c r="BG101" s="80"/>
      <c r="BH101" s="78">
        <f t="shared" si="57"/>
        <v>0</v>
      </c>
      <c r="BI101" s="80"/>
      <c r="BJ101" s="78">
        <f t="shared" si="58"/>
        <v>0</v>
      </c>
      <c r="BK101" s="80"/>
      <c r="BL101" s="78">
        <f t="shared" si="59"/>
        <v>0</v>
      </c>
      <c r="BM101" s="80"/>
      <c r="BN101" s="78">
        <f t="shared" si="60"/>
        <v>0</v>
      </c>
      <c r="BO101" s="80"/>
      <c r="BP101" s="78">
        <f t="shared" si="61"/>
        <v>0</v>
      </c>
      <c r="BQ101" s="80"/>
      <c r="BR101" s="78">
        <f t="shared" si="63"/>
        <v>0</v>
      </c>
      <c r="BS101" s="73"/>
      <c r="BT101" s="81">
        <f t="shared" si="62"/>
        <v>0</v>
      </c>
      <c r="BU101" s="81"/>
      <c r="BV101" s="81"/>
      <c r="BW101" s="81"/>
      <c r="BX101" s="81">
        <f t="shared" si="32"/>
        <v>11835.32</v>
      </c>
    </row>
    <row r="102" spans="1:76" s="82" customFormat="1" x14ac:dyDescent="0.3">
      <c r="A102" s="73">
        <v>63653</v>
      </c>
      <c r="B102" s="74" t="s">
        <v>212</v>
      </c>
      <c r="C102" s="74" t="s">
        <v>60</v>
      </c>
      <c r="D102" s="74" t="s">
        <v>213</v>
      </c>
      <c r="E102" s="74" t="str">
        <f>INDEX('[1]Branch code'!F:F,MATCH(D102,'[1]Branch code'!D:D,0))</f>
        <v>Purple Specs, Inc.</v>
      </c>
      <c r="F102" s="75" t="str">
        <f>INDEX('[1]Region rate'!B:B,MATCH(D102,'[1]Region rate'!A:A,0))</f>
        <v>4A2</v>
      </c>
      <c r="G102" s="76">
        <f>INDEX('[1]Region rate'!C:C,MATCH(F102,'[1]Region rate'!B:B,0))</f>
        <v>636.33333333333337</v>
      </c>
      <c r="H102" s="77">
        <f t="shared" si="33"/>
        <v>79.541666666666671</v>
      </c>
      <c r="I102" s="78"/>
      <c r="J102" s="78"/>
      <c r="K102" s="79"/>
      <c r="L102" s="79">
        <f>INDEX([1]Allowance!B:B,MATCH(F102,[1]Allowance!A:A,0))</f>
        <v>125</v>
      </c>
      <c r="M102" s="79"/>
      <c r="N102" s="79"/>
      <c r="O102" s="79"/>
      <c r="P102" s="79">
        <v>112</v>
      </c>
      <c r="Q102" s="78">
        <f>(O102+P102)*H102</f>
        <v>8908.6666666666679</v>
      </c>
      <c r="R102" s="78">
        <f t="shared" si="35"/>
        <v>1750</v>
      </c>
      <c r="S102" s="78">
        <f t="shared" si="36"/>
        <v>0</v>
      </c>
      <c r="T102" s="78">
        <f t="shared" si="37"/>
        <v>0</v>
      </c>
      <c r="U102" s="79"/>
      <c r="V102" s="78">
        <f t="shared" si="38"/>
        <v>0</v>
      </c>
      <c r="W102" s="80"/>
      <c r="X102" s="80">
        <f t="shared" si="39"/>
        <v>0</v>
      </c>
      <c r="Y102" s="79">
        <v>10</v>
      </c>
      <c r="Z102" s="78">
        <f t="shared" si="40"/>
        <v>994.27083333333348</v>
      </c>
      <c r="AA102" s="80"/>
      <c r="AB102" s="78">
        <f t="shared" si="41"/>
        <v>0</v>
      </c>
      <c r="AC102" s="79"/>
      <c r="AD102" s="78">
        <f t="shared" si="42"/>
        <v>0</v>
      </c>
      <c r="AE102" s="80"/>
      <c r="AF102" s="78">
        <f t="shared" si="43"/>
        <v>0</v>
      </c>
      <c r="AG102" s="79"/>
      <c r="AH102" s="78">
        <f t="shared" si="44"/>
        <v>0</v>
      </c>
      <c r="AI102" s="80"/>
      <c r="AJ102" s="78">
        <f t="shared" si="45"/>
        <v>0</v>
      </c>
      <c r="AK102" s="80"/>
      <c r="AL102" s="78">
        <f t="shared" si="46"/>
        <v>0</v>
      </c>
      <c r="AM102" s="80"/>
      <c r="AN102" s="78">
        <f t="shared" si="47"/>
        <v>0</v>
      </c>
      <c r="AO102" s="80"/>
      <c r="AP102" s="78">
        <f t="shared" si="48"/>
        <v>0</v>
      </c>
      <c r="AQ102" s="80"/>
      <c r="AR102" s="78">
        <f t="shared" si="49"/>
        <v>0</v>
      </c>
      <c r="AS102" s="80"/>
      <c r="AT102" s="78">
        <f t="shared" si="50"/>
        <v>0</v>
      </c>
      <c r="AU102" s="80"/>
      <c r="AV102" s="78">
        <f t="shared" si="51"/>
        <v>0</v>
      </c>
      <c r="AW102" s="80"/>
      <c r="AX102" s="78">
        <f t="shared" si="52"/>
        <v>0</v>
      </c>
      <c r="AY102" s="80"/>
      <c r="AZ102" s="78">
        <f t="shared" si="53"/>
        <v>0</v>
      </c>
      <c r="BA102" s="80"/>
      <c r="BB102" s="78">
        <f t="shared" si="54"/>
        <v>0</v>
      </c>
      <c r="BC102" s="80"/>
      <c r="BD102" s="78">
        <f t="shared" si="55"/>
        <v>0</v>
      </c>
      <c r="BE102" s="80"/>
      <c r="BF102" s="78">
        <f t="shared" si="56"/>
        <v>0</v>
      </c>
      <c r="BG102" s="80"/>
      <c r="BH102" s="78">
        <f t="shared" si="57"/>
        <v>0</v>
      </c>
      <c r="BI102" s="80"/>
      <c r="BJ102" s="78">
        <f t="shared" si="58"/>
        <v>0</v>
      </c>
      <c r="BK102" s="80"/>
      <c r="BL102" s="78">
        <f t="shared" si="59"/>
        <v>0</v>
      </c>
      <c r="BM102" s="80"/>
      <c r="BN102" s="78">
        <f t="shared" si="60"/>
        <v>0</v>
      </c>
      <c r="BO102" s="80"/>
      <c r="BP102" s="78">
        <f t="shared" si="61"/>
        <v>0</v>
      </c>
      <c r="BQ102" s="80"/>
      <c r="BR102" s="78">
        <f t="shared" si="63"/>
        <v>0</v>
      </c>
      <c r="BS102" s="73"/>
      <c r="BT102" s="81">
        <f t="shared" si="62"/>
        <v>0</v>
      </c>
      <c r="BU102" s="81"/>
      <c r="BV102" s="81"/>
      <c r="BW102" s="81"/>
      <c r="BX102" s="81">
        <f t="shared" si="32"/>
        <v>9902.9375000000018</v>
      </c>
    </row>
    <row r="103" spans="1:76" s="82" customFormat="1" x14ac:dyDescent="0.3">
      <c r="A103" s="73">
        <v>63510</v>
      </c>
      <c r="B103" s="74" t="s">
        <v>214</v>
      </c>
      <c r="C103" s="74" t="s">
        <v>39</v>
      </c>
      <c r="D103" s="74" t="s">
        <v>215</v>
      </c>
      <c r="E103" s="74" t="str">
        <f>INDEX('[1]Branch code'!F:F,MATCH(D103,'[1]Branch code'!D:D,0))</f>
        <v xml:space="preserve"> Purple Specs, Inc.</v>
      </c>
      <c r="F103" s="75" t="str">
        <f>INDEX('[1]Region rate'!B:B,MATCH(D103,'[1]Region rate'!A:A,0))</f>
        <v>4A2</v>
      </c>
      <c r="G103" s="76">
        <f>INDEX('[1]Region rate'!C:C,MATCH(F103,'[1]Region rate'!B:B,0))</f>
        <v>636.33333333333337</v>
      </c>
      <c r="H103" s="77">
        <f t="shared" si="33"/>
        <v>79.541666666666671</v>
      </c>
      <c r="I103" s="78">
        <v>0.05</v>
      </c>
      <c r="J103" s="78"/>
      <c r="K103" s="79"/>
      <c r="L103" s="79">
        <f>INDEX([1]Allowance!B:B,MATCH(F103,[1]Allowance!A:A,0))</f>
        <v>125</v>
      </c>
      <c r="M103" s="79"/>
      <c r="N103" s="79"/>
      <c r="O103" s="79"/>
      <c r="P103" s="79">
        <v>103.95</v>
      </c>
      <c r="Q103" s="78">
        <f t="shared" si="34"/>
        <v>8268.3562500000007</v>
      </c>
      <c r="R103" s="78">
        <f t="shared" si="35"/>
        <v>1624.21875</v>
      </c>
      <c r="S103" s="78">
        <f t="shared" si="36"/>
        <v>0</v>
      </c>
      <c r="T103" s="78">
        <f t="shared" si="37"/>
        <v>0</v>
      </c>
      <c r="U103" s="79"/>
      <c r="V103" s="78">
        <f t="shared" si="38"/>
        <v>0</v>
      </c>
      <c r="W103" s="80"/>
      <c r="X103" s="80">
        <f t="shared" si="39"/>
        <v>0</v>
      </c>
      <c r="Y103" s="79">
        <v>7</v>
      </c>
      <c r="Z103" s="78">
        <f t="shared" si="40"/>
        <v>695.98958333333337</v>
      </c>
      <c r="AA103" s="80"/>
      <c r="AB103" s="78">
        <f t="shared" si="41"/>
        <v>0</v>
      </c>
      <c r="AC103" s="79"/>
      <c r="AD103" s="78">
        <f t="shared" si="42"/>
        <v>0</v>
      </c>
      <c r="AE103" s="80"/>
      <c r="AF103" s="78">
        <f t="shared" si="43"/>
        <v>0</v>
      </c>
      <c r="AG103" s="79"/>
      <c r="AH103" s="78">
        <f t="shared" si="44"/>
        <v>0</v>
      </c>
      <c r="AI103" s="80"/>
      <c r="AJ103" s="78">
        <f t="shared" si="45"/>
        <v>0</v>
      </c>
      <c r="AK103" s="80"/>
      <c r="AL103" s="78">
        <f t="shared" si="46"/>
        <v>0</v>
      </c>
      <c r="AM103" s="80"/>
      <c r="AN103" s="78">
        <f t="shared" si="47"/>
        <v>0</v>
      </c>
      <c r="AO103" s="80"/>
      <c r="AP103" s="78">
        <f t="shared" si="48"/>
        <v>0</v>
      </c>
      <c r="AQ103" s="80"/>
      <c r="AR103" s="78">
        <f t="shared" si="49"/>
        <v>0</v>
      </c>
      <c r="AS103" s="80"/>
      <c r="AT103" s="78">
        <f t="shared" si="50"/>
        <v>0</v>
      </c>
      <c r="AU103" s="80"/>
      <c r="AV103" s="78">
        <f t="shared" si="51"/>
        <v>0</v>
      </c>
      <c r="AW103" s="80"/>
      <c r="AX103" s="78">
        <f t="shared" si="52"/>
        <v>0</v>
      </c>
      <c r="AY103" s="80"/>
      <c r="AZ103" s="78">
        <f t="shared" si="53"/>
        <v>0</v>
      </c>
      <c r="BA103" s="80"/>
      <c r="BB103" s="78">
        <f t="shared" si="54"/>
        <v>0</v>
      </c>
      <c r="BC103" s="80"/>
      <c r="BD103" s="78">
        <f t="shared" si="55"/>
        <v>0</v>
      </c>
      <c r="BE103" s="80"/>
      <c r="BF103" s="78">
        <f t="shared" si="56"/>
        <v>0</v>
      </c>
      <c r="BG103" s="80"/>
      <c r="BH103" s="78">
        <f t="shared" si="57"/>
        <v>0</v>
      </c>
      <c r="BI103" s="80"/>
      <c r="BJ103" s="78">
        <f t="shared" si="58"/>
        <v>0</v>
      </c>
      <c r="BK103" s="80"/>
      <c r="BL103" s="78">
        <f t="shared" si="59"/>
        <v>0</v>
      </c>
      <c r="BM103" s="80"/>
      <c r="BN103" s="78">
        <f t="shared" si="60"/>
        <v>0</v>
      </c>
      <c r="BO103" s="80"/>
      <c r="BP103" s="78">
        <f t="shared" si="61"/>
        <v>0</v>
      </c>
      <c r="BQ103" s="80"/>
      <c r="BR103" s="78">
        <f t="shared" si="63"/>
        <v>0</v>
      </c>
      <c r="BS103" s="73"/>
      <c r="BT103" s="81">
        <f t="shared" si="62"/>
        <v>0</v>
      </c>
      <c r="BU103" s="81"/>
      <c r="BV103" s="81"/>
      <c r="BW103" s="81"/>
      <c r="BX103" s="81">
        <f t="shared" si="32"/>
        <v>8964.3458333333347</v>
      </c>
    </row>
    <row r="104" spans="1:76" s="82" customFormat="1" x14ac:dyDescent="0.3">
      <c r="A104" s="73">
        <v>51772</v>
      </c>
      <c r="B104" s="74" t="s">
        <v>216</v>
      </c>
      <c r="C104" s="74" t="s">
        <v>217</v>
      </c>
      <c r="D104" s="74" t="s">
        <v>74</v>
      </c>
      <c r="E104" s="74" t="str">
        <f>INDEX('[1]Branch code'!F:F,MATCH(D104,'[1]Branch code'!D:D,0))</f>
        <v xml:space="preserve"> Executive Optical, Inc.</v>
      </c>
      <c r="F104" s="75" t="str">
        <f>INDEX('[1]Region rate'!B:B,MATCH(D104,'[1]Region rate'!A:A,0))</f>
        <v>NCR</v>
      </c>
      <c r="G104" s="76">
        <f>INDEX('[1]Region rate'!C:C,MATCH(F104,'[1]Region rate'!B:B,0))</f>
        <v>789.10576923076928</v>
      </c>
      <c r="H104" s="77">
        <f t="shared" si="33"/>
        <v>98.63822115384616</v>
      </c>
      <c r="I104" s="78">
        <v>1.83</v>
      </c>
      <c r="J104" s="78"/>
      <c r="K104" s="79"/>
      <c r="L104" s="79">
        <f>INDEX([1]Allowance!B:B,MATCH(F104,[1]Allowance!A:A,0))</f>
        <v>50</v>
      </c>
      <c r="M104" s="79"/>
      <c r="N104" s="79"/>
      <c r="O104" s="79"/>
      <c r="P104" s="79">
        <v>110.17</v>
      </c>
      <c r="Q104" s="78">
        <f t="shared" si="34"/>
        <v>10866.972824519231</v>
      </c>
      <c r="R104" s="78">
        <f t="shared" si="35"/>
        <v>688.5625</v>
      </c>
      <c r="S104" s="78">
        <f t="shared" si="36"/>
        <v>0</v>
      </c>
      <c r="T104" s="78">
        <f t="shared" si="37"/>
        <v>0</v>
      </c>
      <c r="U104" s="79"/>
      <c r="V104" s="78">
        <f t="shared" si="38"/>
        <v>0</v>
      </c>
      <c r="W104" s="80">
        <v>1.87</v>
      </c>
      <c r="X104" s="80">
        <f t="shared" si="39"/>
        <v>184.45347355769232</v>
      </c>
      <c r="Y104" s="79">
        <v>47.549900000000001</v>
      </c>
      <c r="Z104" s="78">
        <f t="shared" si="40"/>
        <v>5862.7969400540878</v>
      </c>
      <c r="AA104" s="80"/>
      <c r="AB104" s="78">
        <f t="shared" si="41"/>
        <v>0</v>
      </c>
      <c r="AC104" s="79"/>
      <c r="AD104" s="78">
        <f t="shared" si="42"/>
        <v>0</v>
      </c>
      <c r="AE104" s="80"/>
      <c r="AF104" s="78">
        <f t="shared" si="43"/>
        <v>0</v>
      </c>
      <c r="AG104" s="79"/>
      <c r="AH104" s="78">
        <f t="shared" si="44"/>
        <v>0</v>
      </c>
      <c r="AI104" s="80"/>
      <c r="AJ104" s="78">
        <f t="shared" si="45"/>
        <v>0</v>
      </c>
      <c r="AK104" s="80"/>
      <c r="AL104" s="78">
        <f t="shared" si="46"/>
        <v>0</v>
      </c>
      <c r="AM104" s="80"/>
      <c r="AN104" s="78">
        <f t="shared" si="47"/>
        <v>0</v>
      </c>
      <c r="AO104" s="80"/>
      <c r="AP104" s="78">
        <f t="shared" si="48"/>
        <v>0</v>
      </c>
      <c r="AQ104" s="80"/>
      <c r="AR104" s="78">
        <f t="shared" si="49"/>
        <v>0</v>
      </c>
      <c r="AS104" s="80"/>
      <c r="AT104" s="78">
        <f t="shared" si="50"/>
        <v>0</v>
      </c>
      <c r="AU104" s="80"/>
      <c r="AV104" s="78">
        <f t="shared" si="51"/>
        <v>0</v>
      </c>
      <c r="AW104" s="80"/>
      <c r="AX104" s="78">
        <f t="shared" si="52"/>
        <v>0</v>
      </c>
      <c r="AY104" s="80"/>
      <c r="AZ104" s="78">
        <f t="shared" si="53"/>
        <v>0</v>
      </c>
      <c r="BA104" s="80"/>
      <c r="BB104" s="78">
        <f t="shared" si="54"/>
        <v>0</v>
      </c>
      <c r="BC104" s="80"/>
      <c r="BD104" s="78">
        <f t="shared" si="55"/>
        <v>0</v>
      </c>
      <c r="BE104" s="80"/>
      <c r="BF104" s="78">
        <f t="shared" si="56"/>
        <v>0</v>
      </c>
      <c r="BG104" s="80"/>
      <c r="BH104" s="78">
        <f t="shared" si="57"/>
        <v>0</v>
      </c>
      <c r="BI104" s="80"/>
      <c r="BJ104" s="78">
        <f t="shared" si="58"/>
        <v>0</v>
      </c>
      <c r="BK104" s="80"/>
      <c r="BL104" s="78">
        <f t="shared" si="59"/>
        <v>0</v>
      </c>
      <c r="BM104" s="80"/>
      <c r="BN104" s="78">
        <f t="shared" si="60"/>
        <v>0</v>
      </c>
      <c r="BO104" s="80"/>
      <c r="BP104" s="78">
        <f t="shared" si="61"/>
        <v>0</v>
      </c>
      <c r="BQ104" s="80"/>
      <c r="BR104" s="78">
        <f t="shared" si="63"/>
        <v>0</v>
      </c>
      <c r="BS104" s="73"/>
      <c r="BT104" s="81">
        <f t="shared" si="62"/>
        <v>0</v>
      </c>
      <c r="BU104" s="81"/>
      <c r="BV104" s="81"/>
      <c r="BW104" s="81"/>
      <c r="BX104" s="81">
        <f t="shared" si="32"/>
        <v>16545.316291015628</v>
      </c>
    </row>
    <row r="105" spans="1:76" x14ac:dyDescent="0.3">
      <c r="E105" s="88"/>
      <c r="F105" s="89"/>
      <c r="G105" s="88"/>
      <c r="H105" s="88"/>
      <c r="I105" s="90">
        <f>SUM(I6:I104)</f>
        <v>37.590000000000003</v>
      </c>
      <c r="J105" s="90">
        <f t="shared" ref="J105:BU105" si="64">SUM(J6:J104)</f>
        <v>74.72</v>
      </c>
      <c r="K105" s="91">
        <f t="shared" si="64"/>
        <v>2920</v>
      </c>
      <c r="L105" s="90">
        <f t="shared" si="64"/>
        <v>11132.400000000001</v>
      </c>
      <c r="M105" s="91">
        <f t="shared" si="64"/>
        <v>423.05999999999995</v>
      </c>
      <c r="N105" s="91">
        <f t="shared" si="64"/>
        <v>76.92</v>
      </c>
      <c r="O105" s="91">
        <f t="shared" si="64"/>
        <v>25.18</v>
      </c>
      <c r="P105" s="91">
        <f t="shared" si="64"/>
        <v>7846.5100000000011</v>
      </c>
      <c r="Q105" s="90">
        <f t="shared" si="64"/>
        <v>680475.09803317336</v>
      </c>
      <c r="R105" s="90">
        <f>SUM(R6:R104)</f>
        <v>117735.99364999999</v>
      </c>
      <c r="S105" s="90">
        <f t="shared" si="64"/>
        <v>5683.1380500000005</v>
      </c>
      <c r="T105" s="90">
        <f t="shared" si="64"/>
        <v>1027.7473500000001</v>
      </c>
      <c r="U105" s="90">
        <f t="shared" si="64"/>
        <v>42.5</v>
      </c>
      <c r="V105" s="90">
        <f t="shared" si="64"/>
        <v>373.72383413461546</v>
      </c>
      <c r="W105" s="90">
        <f t="shared" si="64"/>
        <v>17.439999999999998</v>
      </c>
      <c r="X105" s="90">
        <f t="shared" si="64"/>
        <v>1510.4511017628206</v>
      </c>
      <c r="Y105" s="90">
        <f t="shared" si="64"/>
        <v>393.09999999999997</v>
      </c>
      <c r="Z105" s="90">
        <f t="shared" si="64"/>
        <v>43519.125041626612</v>
      </c>
      <c r="AA105" s="90">
        <f t="shared" si="64"/>
        <v>0</v>
      </c>
      <c r="AB105" s="90">
        <f t="shared" si="64"/>
        <v>0</v>
      </c>
      <c r="AC105" s="90">
        <f t="shared" si="64"/>
        <v>47</v>
      </c>
      <c r="AD105" s="90">
        <f t="shared" si="64"/>
        <v>465.03728445512832</v>
      </c>
      <c r="AE105" s="90">
        <f t="shared" si="64"/>
        <v>0</v>
      </c>
      <c r="AF105" s="90">
        <f t="shared" si="64"/>
        <v>0</v>
      </c>
      <c r="AG105" s="90">
        <f t="shared" si="64"/>
        <v>5.05</v>
      </c>
      <c r="AH105" s="90">
        <f t="shared" si="64"/>
        <v>518.26983854166679</v>
      </c>
      <c r="AI105" s="90">
        <f t="shared" si="64"/>
        <v>0</v>
      </c>
      <c r="AJ105" s="90">
        <f t="shared" si="64"/>
        <v>0</v>
      </c>
      <c r="AK105" s="90">
        <f t="shared" si="64"/>
        <v>0</v>
      </c>
      <c r="AL105" s="90">
        <f t="shared" si="64"/>
        <v>0</v>
      </c>
      <c r="AM105" s="90">
        <f t="shared" si="64"/>
        <v>0</v>
      </c>
      <c r="AN105" s="90">
        <f t="shared" si="64"/>
        <v>0</v>
      </c>
      <c r="AO105" s="90">
        <f t="shared" si="64"/>
        <v>0</v>
      </c>
      <c r="AP105" s="90">
        <f t="shared" si="64"/>
        <v>0</v>
      </c>
      <c r="AQ105" s="90">
        <f t="shared" si="64"/>
        <v>0</v>
      </c>
      <c r="AR105" s="90">
        <f t="shared" si="64"/>
        <v>0</v>
      </c>
      <c r="AS105" s="90">
        <f t="shared" si="64"/>
        <v>0</v>
      </c>
      <c r="AT105" s="90">
        <f t="shared" si="64"/>
        <v>0</v>
      </c>
      <c r="AU105" s="90">
        <f t="shared" si="64"/>
        <v>0</v>
      </c>
      <c r="AV105" s="90">
        <f t="shared" si="64"/>
        <v>0</v>
      </c>
      <c r="AW105" s="90">
        <f t="shared" si="64"/>
        <v>0</v>
      </c>
      <c r="AX105" s="90">
        <f t="shared" si="64"/>
        <v>0</v>
      </c>
      <c r="AY105" s="90">
        <f t="shared" si="64"/>
        <v>0</v>
      </c>
      <c r="AZ105" s="90">
        <f t="shared" si="64"/>
        <v>0</v>
      </c>
      <c r="BA105" s="90">
        <f t="shared" si="64"/>
        <v>0</v>
      </c>
      <c r="BB105" s="90">
        <f t="shared" si="64"/>
        <v>0</v>
      </c>
      <c r="BC105" s="90">
        <f t="shared" si="64"/>
        <v>0</v>
      </c>
      <c r="BD105" s="90">
        <f t="shared" si="64"/>
        <v>0</v>
      </c>
      <c r="BE105" s="90">
        <f t="shared" si="64"/>
        <v>0</v>
      </c>
      <c r="BF105" s="90">
        <f t="shared" si="64"/>
        <v>0</v>
      </c>
      <c r="BG105" s="90">
        <f t="shared" si="64"/>
        <v>0</v>
      </c>
      <c r="BH105" s="90">
        <f t="shared" si="64"/>
        <v>0</v>
      </c>
      <c r="BI105" s="90">
        <f t="shared" si="64"/>
        <v>0</v>
      </c>
      <c r="BJ105" s="90">
        <f t="shared" si="64"/>
        <v>0</v>
      </c>
      <c r="BK105" s="90">
        <f t="shared" si="64"/>
        <v>0</v>
      </c>
      <c r="BL105" s="90">
        <f t="shared" si="64"/>
        <v>0</v>
      </c>
      <c r="BM105" s="90">
        <f t="shared" si="64"/>
        <v>0</v>
      </c>
      <c r="BN105" s="90">
        <f t="shared" si="64"/>
        <v>0</v>
      </c>
      <c r="BO105" s="90">
        <f t="shared" si="64"/>
        <v>0</v>
      </c>
      <c r="BP105" s="90">
        <f t="shared" si="64"/>
        <v>0</v>
      </c>
      <c r="BQ105" s="90">
        <f t="shared" si="64"/>
        <v>0</v>
      </c>
      <c r="BR105" s="90">
        <f t="shared" si="64"/>
        <v>0</v>
      </c>
      <c r="BS105" s="90">
        <f t="shared" si="64"/>
        <v>0</v>
      </c>
      <c r="BT105" s="90">
        <f t="shared" si="64"/>
        <v>0</v>
      </c>
      <c r="BU105" s="90">
        <f t="shared" si="64"/>
        <v>0</v>
      </c>
      <c r="BV105" s="90">
        <f>SUM(BV6:BV104)</f>
        <v>6344.5329915865386</v>
      </c>
      <c r="BW105" s="90">
        <f t="shared" ref="BW105:BX105" si="65">SUM(BW6:BW104)</f>
        <v>565.79999999999995</v>
      </c>
      <c r="BX105" s="90">
        <f t="shared" si="65"/>
        <v>723840.80293016788</v>
      </c>
    </row>
    <row r="106" spans="1:76" ht="15" thickBot="1" x14ac:dyDescent="0.35"/>
    <row r="107" spans="1:76" ht="17.399999999999999" x14ac:dyDescent="0.3">
      <c r="B107" s="92" t="s">
        <v>218</v>
      </c>
      <c r="C107" s="93">
        <f>BX105</f>
        <v>723840.80293016788</v>
      </c>
      <c r="D107" s="94">
        <f>SUM('[1] Basic Brands Phils., Inc.'!C9,'[1]eo h'!C8,'[1] Executive Optical, Inc.'!C23,'[1] Fun Optics, Inc.'!C8,'[1] Indigo Visions, Inc.'!C11,'[1] Legato Visions, Inc.'!C12,'[1] Maple Hope, Inc.'!C13,'[1] Megane Specs Corp.'!C10,'[1]Occhialera Filipinas, Inc.'!C11,'[1] Occhialli, Inc.'!C19,'[1] Purple Specs, Inc.'!C9,'[1] Sight Testers, Inc.'!C11,'[1] Specs Plus, Inc.'!C7,'[1]Spectacle Trolley Corp.'!C8,'[1] Vision Lane Corp.'!C7,'[1] Vue Circle Corp.'!C8,'[1] VueConcepts, Inc.'!C9)</f>
        <v>723840.80293016834</v>
      </c>
      <c r="E107" s="95">
        <f>C107-D107</f>
        <v>0</v>
      </c>
    </row>
    <row r="108" spans="1:76" ht="17.399999999999999" x14ac:dyDescent="0.3">
      <c r="B108" s="96" t="s">
        <v>35</v>
      </c>
      <c r="C108" s="97">
        <f>BV105</f>
        <v>6344.5329915865386</v>
      </c>
      <c r="D108" s="94">
        <f>SUM('[1] Basic Brands Phils., Inc.'!C10,'[1]eo h'!C9,'[1] Executive Optical, Inc.'!C24,'[1] Fun Optics, Inc.'!C9,'[1] Indigo Visions, Inc.'!C12,'[1] Legato Visions, Inc.'!C13,'[1] Maple Hope, Inc.'!C14,'[1] Megane Specs Corp.'!C11,'[1]Occhialera Filipinas, Inc.'!C12,'[1] Occhialli, Inc.'!C20,'[1] Purple Specs, Inc.'!C10,'[1] Sight Testers, Inc.'!C12,'[1] Specs Plus, Inc.'!C8,'[1]Spectacle Trolley Corp.'!C9,'[1] Vision Lane Corp.'!C8,'[1] Vue Circle Corp.'!C9,'[1] VueConcepts, Inc.'!C10)</f>
        <v>6344.5300000000007</v>
      </c>
      <c r="E108" s="95">
        <f t="shared" ref="E108:E119" si="66">C108-D108</f>
        <v>2.9915865379734896E-3</v>
      </c>
      <c r="F108" s="98"/>
    </row>
    <row r="109" spans="1:76" ht="17.399999999999999" x14ac:dyDescent="0.3">
      <c r="A109" s="95"/>
      <c r="B109" s="99" t="s">
        <v>219</v>
      </c>
      <c r="C109" s="97">
        <f>SUM(C107:C108)*0.1</f>
        <v>73018.533592175445</v>
      </c>
      <c r="D109" s="94">
        <f>SUM('[1] Basic Brands Phils., Inc.'!C11,'[1]eo h'!C10,'[1] Executive Optical, Inc.'!C25,'[1] Fun Optics, Inc.'!C10,'[1] Indigo Visions, Inc.'!C13,'[1] Legato Visions, Inc.'!C14,'[1] Maple Hope, Inc.'!C15,'[1] Megane Specs Corp.'!C12,'[1]Occhialera Filipinas, Inc.'!C13,'[1] Occhialli, Inc.'!C21,'[1] Purple Specs, Inc.'!C11,'[1] Sight Testers, Inc.'!C13,'[1] Specs Plus, Inc.'!C9,'[1]Spectacle Trolley Corp.'!C10,'[1] Vision Lane Corp.'!C9,'[1] Vue Circle Corp.'!C10,'[1] VueConcepts, Inc.'!C11)</f>
        <v>73018.533293016837</v>
      </c>
      <c r="E109" s="95">
        <f t="shared" si="66"/>
        <v>2.9915860795881599E-4</v>
      </c>
      <c r="F109" s="98"/>
    </row>
    <row r="110" spans="1:76" ht="17.399999999999999" x14ac:dyDescent="0.3">
      <c r="B110" s="96" t="s">
        <v>19</v>
      </c>
      <c r="C110" s="97">
        <f>R105</f>
        <v>117735.99364999999</v>
      </c>
      <c r="D110" s="94">
        <f>SUM('[1] Basic Brands Phils., Inc.'!C12,'[1]eo h'!C11,'[1] Executive Optical, Inc.'!C26,'[1] Fun Optics, Inc.'!C11,'[1] Indigo Visions, Inc.'!C14,'[1] Legato Visions, Inc.'!C15,'[1] Maple Hope, Inc.'!C16,'[1] Megane Specs Corp.'!C13,'[1]Occhialera Filipinas, Inc.'!C14,'[1] Occhialli, Inc.'!C22,'[1] Purple Specs, Inc.'!C12,'[1] Sight Testers, Inc.'!C14,'[1] Specs Plus, Inc.'!C10,'[1]Spectacle Trolley Corp.'!C11,'[1] Vision Lane Corp.'!C10,'[1] Vue Circle Corp.'!C11,'[1] VueConcepts, Inc.'!C12)</f>
        <v>117735.99365</v>
      </c>
      <c r="E110" s="95">
        <f t="shared" si="66"/>
        <v>0</v>
      </c>
    </row>
    <row r="111" spans="1:76" ht="17.399999999999999" x14ac:dyDescent="0.3">
      <c r="B111" s="96" t="s">
        <v>20</v>
      </c>
      <c r="C111" s="97">
        <f>S105</f>
        <v>5683.1380500000005</v>
      </c>
      <c r="D111" s="94">
        <f>SUM('[1] Basic Brands Phils., Inc.'!C13,'[1]eo h'!C12,'[1] Executive Optical, Inc.'!C27,'[1] Fun Optics, Inc.'!C12,'[1] Indigo Visions, Inc.'!C15,'[1] Legato Visions, Inc.'!C16,'[1] Maple Hope, Inc.'!C17,'[1] Megane Specs Corp.'!C14,'[1]Occhialera Filipinas, Inc.'!C15,'[1] Occhialli, Inc.'!C23,'[1] Purple Specs, Inc.'!C13,'[1] Sight Testers, Inc.'!C15,'[1] Specs Plus, Inc.'!C11,'[1]Spectacle Trolley Corp.'!C12,'[1] Vision Lane Corp.'!C11,'[1] Vue Circle Corp.'!C12,'[1] VueConcepts, Inc.'!C13)</f>
        <v>5683.1380499999996</v>
      </c>
      <c r="E111" s="95">
        <f t="shared" si="66"/>
        <v>0</v>
      </c>
    </row>
    <row r="112" spans="1:76" ht="17.399999999999999" x14ac:dyDescent="0.3">
      <c r="B112" s="96" t="s">
        <v>21</v>
      </c>
      <c r="C112" s="97">
        <f>T105</f>
        <v>1027.7473500000001</v>
      </c>
      <c r="D112" s="94">
        <f>SUM('[1] Basic Brands Phils., Inc.'!C14,'[1]eo h'!C13,'[1] Executive Optical, Inc.'!C28,'[1] Fun Optics, Inc.'!C13,'[1] Indigo Visions, Inc.'!C16,'[1] Legato Visions, Inc.'!C17,'[1] Maple Hope, Inc.'!C18,'[1] Megane Specs Corp.'!C15,'[1]Occhialera Filipinas, Inc.'!C16,'[1] Occhialli, Inc.'!C24,'[1] Purple Specs, Inc.'!C14,'[1] Sight Testers, Inc.'!C16,'[1] Specs Plus, Inc.'!C12,'[1]Spectacle Trolley Corp.'!C13,'[1] Vision Lane Corp.'!C12,'[1] Vue Circle Corp.'!C13,'[1] VueConcepts, Inc.'!C14)</f>
        <v>1027.7473500000001</v>
      </c>
      <c r="E112" s="95">
        <f t="shared" si="66"/>
        <v>0</v>
      </c>
    </row>
    <row r="113" spans="2:5" ht="17.399999999999999" x14ac:dyDescent="0.3">
      <c r="B113" s="96" t="s">
        <v>36</v>
      </c>
      <c r="C113" s="97">
        <f>BW105</f>
        <v>565.79999999999995</v>
      </c>
      <c r="D113" s="94">
        <f>SUM('[1] Basic Brands Phils., Inc.'!C15,'[1]eo h'!C14,'[1] Executive Optical, Inc.'!C29,'[1] Fun Optics, Inc.'!C14,'[1] Indigo Visions, Inc.'!C17,'[1] Legato Visions, Inc.'!C18,'[1] Maple Hope, Inc.'!C19,'[1] Megane Specs Corp.'!C16,'[1]Occhialera Filipinas, Inc.'!C17,'[1] Occhialli, Inc.'!C25,'[1] Purple Specs, Inc.'!C15,'[1] Sight Testers, Inc.'!C17,'[1] Specs Plus, Inc.'!C13,'[1]Spectacle Trolley Corp.'!C14,'[1] Vision Lane Corp.'!C13,'[1] Vue Circle Corp.'!C14,'[1] VueConcepts, Inc.'!C15)</f>
        <v>565.79999999999995</v>
      </c>
      <c r="E113" s="95">
        <f t="shared" si="66"/>
        <v>0</v>
      </c>
    </row>
    <row r="114" spans="2:5" ht="17.399999999999999" x14ac:dyDescent="0.3">
      <c r="B114" s="96" t="s">
        <v>220</v>
      </c>
      <c r="C114" s="97">
        <f>BU105</f>
        <v>0</v>
      </c>
      <c r="D114" s="94">
        <f>SUM('[1] Basic Brands Phils., Inc.'!C16,'[1]eo h'!C15,'[1] Executive Optical, Inc.'!C30,'[1] Fun Optics, Inc.'!C15,'[1] Indigo Visions, Inc.'!C18,'[1] Legato Visions, Inc.'!C19,'[1] Maple Hope, Inc.'!C20,'[1] Megane Specs Corp.'!C17,'[1]Occhialera Filipinas, Inc.'!C18,'[1] Occhialli, Inc.'!C26,'[1] Purple Specs, Inc.'!C16,'[1] Sight Testers, Inc.'!C18,'[1] Specs Plus, Inc.'!C14,'[1]Spectacle Trolley Corp.'!C15,'[1] Vision Lane Corp.'!C14,'[1] Vue Circle Corp.'!C15,'[1] VueConcepts, Inc.'!C16)</f>
        <v>0</v>
      </c>
      <c r="E114" s="95">
        <f t="shared" si="66"/>
        <v>0</v>
      </c>
    </row>
    <row r="115" spans="2:5" ht="17.399999999999999" x14ac:dyDescent="0.3">
      <c r="B115" s="100" t="s">
        <v>221</v>
      </c>
      <c r="C115" s="101">
        <f>SUM(C107:C114)</f>
        <v>928216.54856392974</v>
      </c>
      <c r="D115" s="94">
        <f>SUM('[1] Basic Brands Phils., Inc.'!C17,'[1]eo h'!C16,'[1] Executive Optical, Inc.'!C31,'[1] Fun Optics, Inc.'!C16,'[1] Indigo Visions, Inc.'!C19,'[1] Legato Visions, Inc.'!C20,'[1] Maple Hope, Inc.'!C21,'[1] Megane Specs Corp.'!C18,'[1]Occhialera Filipinas, Inc.'!C19,'[1] Occhialli, Inc.'!C27,'[1] Purple Specs, Inc.'!C17,'[1] Sight Testers, Inc.'!C19,'[1] Specs Plus, Inc.'!C15,'[1]Spectacle Trolley Corp.'!C16,'[1] Vision Lane Corp.'!C15,'[1] Vue Circle Corp.'!C16,'[1] VueConcepts, Inc.'!C17)</f>
        <v>928216.54527318524</v>
      </c>
      <c r="E115" s="95">
        <f t="shared" si="66"/>
        <v>3.2907444983720779E-3</v>
      </c>
    </row>
    <row r="116" spans="2:5" ht="17.399999999999999" x14ac:dyDescent="0.3">
      <c r="B116" s="99" t="s">
        <v>222</v>
      </c>
      <c r="C116" s="97">
        <f>C115*0.12</f>
        <v>111385.98582767157</v>
      </c>
      <c r="D116" s="94">
        <f>SUM('[1] Basic Brands Phils., Inc.'!C18,'[1]eo h'!C17,'[1] Executive Optical, Inc.'!C32,'[1] Fun Optics, Inc.'!C17,'[1] Indigo Visions, Inc.'!C20,'[1] Legato Visions, Inc.'!C21,'[1] Maple Hope, Inc.'!C22,'[1] Megane Specs Corp.'!C19,'[1]Occhialera Filipinas, Inc.'!C20,'[1] Occhialli, Inc.'!C28,'[1] Purple Specs, Inc.'!C18,'[1] Sight Testers, Inc.'!C20,'[1] Specs Plus, Inc.'!C16,'[1]Spectacle Trolley Corp.'!C17,'[1] Vision Lane Corp.'!C16,'[1] Vue Circle Corp.'!C17,'[1] VueConcepts, Inc.'!C18)</f>
        <v>111385.98543278218</v>
      </c>
      <c r="E116" s="95">
        <f t="shared" si="66"/>
        <v>3.9488938637077808E-4</v>
      </c>
    </row>
    <row r="117" spans="2:5" ht="17.399999999999999" x14ac:dyDescent="0.3">
      <c r="B117" s="99" t="s">
        <v>223</v>
      </c>
      <c r="C117" s="97">
        <f>C115+C116</f>
        <v>1039602.5343916013</v>
      </c>
      <c r="D117" s="94">
        <f>SUM('[1] Basic Brands Phils., Inc.'!C19,'[1]eo h'!C18,'[1] Executive Optical, Inc.'!C33,'[1] Fun Optics, Inc.'!C18,'[1] Indigo Visions, Inc.'!C21,'[1] Legato Visions, Inc.'!C22,'[1] Maple Hope, Inc.'!C23,'[1] Megane Specs Corp.'!C20,'[1]Occhialera Filipinas, Inc.'!C21,'[1] Occhialli, Inc.'!C29,'[1] Purple Specs, Inc.'!C19,'[1] Sight Testers, Inc.'!C21,'[1] Specs Plus, Inc.'!C17,'[1]Spectacle Trolley Corp.'!C18,'[1] Vision Lane Corp.'!C17,'[1] Vue Circle Corp.'!C18,'[1] VueConcepts, Inc.'!C19)</f>
        <v>1039602.5307059673</v>
      </c>
      <c r="E117" s="95">
        <f t="shared" si="66"/>
        <v>3.6856340011581779E-3</v>
      </c>
    </row>
    <row r="118" spans="2:5" ht="17.399999999999999" x14ac:dyDescent="0.3">
      <c r="B118" s="99" t="s">
        <v>224</v>
      </c>
      <c r="C118" s="97">
        <f>C115*0.02</f>
        <v>18564.330971278596</v>
      </c>
      <c r="D118" s="94">
        <f>SUM('[1] Basic Brands Phils., Inc.'!C20,'[1]eo h'!C19,'[1] Executive Optical, Inc.'!C34,'[1] Fun Optics, Inc.'!C19,'[1] Indigo Visions, Inc.'!C22,'[1] Legato Visions, Inc.'!C23,'[1] Maple Hope, Inc.'!C24,'[1] Megane Specs Corp.'!C21,'[1]Occhialera Filipinas, Inc.'!C22,'[1] Occhialli, Inc.'!C30,'[1] Purple Specs, Inc.'!C20,'[1] Sight Testers, Inc.'!C22,'[1] Specs Plus, Inc.'!C18,'[1]Spectacle Trolley Corp.'!C19,'[1] Vision Lane Corp.'!C18,'[1] Vue Circle Corp.'!C19,'[1] VueConcepts, Inc.'!C20)</f>
        <v>18564.330905463703</v>
      </c>
      <c r="E118" s="95">
        <f t="shared" si="66"/>
        <v>6.5814892877824605E-5</v>
      </c>
    </row>
    <row r="119" spans="2:5" ht="18" thickBot="1" x14ac:dyDescent="0.35">
      <c r="B119" s="102" t="s">
        <v>225</v>
      </c>
      <c r="C119" s="103">
        <f>C117-C118</f>
        <v>1021038.2034203227</v>
      </c>
      <c r="D119" s="94">
        <f>SUM('[1] Basic Brands Phils., Inc.'!C21,'[1]eo h'!C20,'[1] Executive Optical, Inc.'!C35,'[1] Fun Optics, Inc.'!C20,'[1] Indigo Visions, Inc.'!C23,'[1] Legato Visions, Inc.'!C24,'[1] Maple Hope, Inc.'!C25,'[1] Megane Specs Corp.'!C22,'[1]Occhialera Filipinas, Inc.'!C23,'[1] Occhialli, Inc.'!C31,'[1] Purple Specs, Inc.'!C21,'[1] Sight Testers, Inc.'!C23,'[1] Specs Plus, Inc.'!C19,'[1]Spectacle Trolley Corp.'!C20,'[1] Vision Lane Corp.'!C19,'[1] Vue Circle Corp.'!C20,'[1] VueConcepts, Inc.'!C21)</f>
        <v>1021038.1998005038</v>
      </c>
      <c r="E119" s="95">
        <f t="shared" si="66"/>
        <v>3.6198189482092857E-3</v>
      </c>
    </row>
    <row r="120" spans="2:5" ht="17.399999999999999" x14ac:dyDescent="0.3">
      <c r="B120" s="104"/>
      <c r="C120" s="105"/>
    </row>
    <row r="121" spans="2:5" ht="17.399999999999999" x14ac:dyDescent="0.3">
      <c r="B121" s="104"/>
      <c r="C121" s="105"/>
    </row>
    <row r="123" spans="2:5" x14ac:dyDescent="0.3">
      <c r="B123"/>
      <c r="C123"/>
      <c r="D123"/>
    </row>
    <row r="124" spans="2:5" x14ac:dyDescent="0.3">
      <c r="B124"/>
      <c r="C124"/>
      <c r="D124"/>
    </row>
    <row r="125" spans="2:5" x14ac:dyDescent="0.3">
      <c r="B125"/>
      <c r="C125"/>
      <c r="D125"/>
    </row>
    <row r="126" spans="2:5" x14ac:dyDescent="0.3">
      <c r="B126"/>
      <c r="C126"/>
      <c r="D126"/>
    </row>
    <row r="127" spans="2:5" x14ac:dyDescent="0.3">
      <c r="B127"/>
      <c r="C127"/>
      <c r="D127"/>
    </row>
    <row r="128" spans="2:5" x14ac:dyDescent="0.3">
      <c r="B128"/>
      <c r="C128"/>
      <c r="D128"/>
    </row>
    <row r="129" spans="2:4" x14ac:dyDescent="0.3">
      <c r="B129"/>
      <c r="C129"/>
      <c r="D129"/>
    </row>
    <row r="130" spans="2:4" x14ac:dyDescent="0.3">
      <c r="B130"/>
      <c r="C130"/>
      <c r="D130"/>
    </row>
    <row r="131" spans="2:4" x14ac:dyDescent="0.3">
      <c r="B131"/>
      <c r="C131"/>
      <c r="D131"/>
    </row>
    <row r="132" spans="2:4" x14ac:dyDescent="0.3">
      <c r="B132"/>
      <c r="C132"/>
      <c r="D132"/>
    </row>
    <row r="133" spans="2:4" x14ac:dyDescent="0.3">
      <c r="B133"/>
      <c r="C133"/>
      <c r="D133"/>
    </row>
    <row r="134" spans="2:4" x14ac:dyDescent="0.3">
      <c r="B134"/>
      <c r="C134"/>
      <c r="D134"/>
    </row>
    <row r="135" spans="2:4" x14ac:dyDescent="0.3">
      <c r="B135"/>
      <c r="C135"/>
      <c r="D135"/>
    </row>
    <row r="136" spans="2:4" x14ac:dyDescent="0.3">
      <c r="B136"/>
      <c r="C136"/>
      <c r="D136"/>
    </row>
    <row r="137" spans="2:4" x14ac:dyDescent="0.3">
      <c r="B137"/>
      <c r="C137"/>
      <c r="D137"/>
    </row>
    <row r="138" spans="2:4" x14ac:dyDescent="0.3">
      <c r="B138"/>
      <c r="C138"/>
      <c r="D138"/>
    </row>
    <row r="139" spans="2:4" x14ac:dyDescent="0.3">
      <c r="B139"/>
      <c r="C139"/>
      <c r="D139"/>
    </row>
    <row r="140" spans="2:4" x14ac:dyDescent="0.3">
      <c r="B140"/>
      <c r="C140"/>
      <c r="D140"/>
    </row>
  </sheetData>
  <mergeCells count="8">
    <mergeCell ref="BU4:BW4"/>
    <mergeCell ref="Y3:BT3"/>
    <mergeCell ref="Y4:AF4"/>
    <mergeCell ref="AG4:AN4"/>
    <mergeCell ref="AO4:AV4"/>
    <mergeCell ref="AW4:BD4"/>
    <mergeCell ref="BE4:BL4"/>
    <mergeCell ref="BM4:BT4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5982B3073E7F419DB4532A2688A952" ma:contentTypeVersion="3" ma:contentTypeDescription="Create a new document." ma:contentTypeScope="" ma:versionID="3e544f0acda88aeeaa38044e453cb74e">
  <xsd:schema xmlns:xsd="http://www.w3.org/2001/XMLSchema" xmlns:xs="http://www.w3.org/2001/XMLSchema" xmlns:p="http://schemas.microsoft.com/office/2006/metadata/properties" xmlns:ns3="55ca4e8b-8156-4bf3-b1fc-a0942f4c3b9e" targetNamespace="http://schemas.microsoft.com/office/2006/metadata/properties" ma:root="true" ma:fieldsID="0a4be80998e0efd27528eff1c5dc19eb" ns3:_="">
    <xsd:import namespace="55ca4e8b-8156-4bf3-b1fc-a0942f4c3b9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ca4e8b-8156-4bf3-b1fc-a0942f4c3b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4B59D77-482F-4FE5-B492-4B9D1F3706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ca4e8b-8156-4bf3-b1fc-a0942f4c3b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BC9087-67B8-442C-9300-A77C37BBE82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8E903F-A950-46DB-8C21-BF1C0D0D5E66}">
  <ds:schemaRefs>
    <ds:schemaRef ds:uri="http://schemas.microsoft.com/office/infopath/2007/PartnerControls"/>
    <ds:schemaRef ds:uri="55ca4e8b-8156-4bf3-b1fc-a0942f4c3b9e"/>
    <ds:schemaRef ds:uri="http://www.w3.org/XML/1998/namespace"/>
    <ds:schemaRef ds:uri="http://purl.org/dc/terms/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365</dc:creator>
  <cp:lastModifiedBy>Microsoft 365</cp:lastModifiedBy>
  <dcterms:created xsi:type="dcterms:W3CDTF">2025-07-02T07:56:25Z</dcterms:created>
  <dcterms:modified xsi:type="dcterms:W3CDTF">2025-07-05T02:56:23Z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0x010100B15982B3073E7F419DB4532A2688A952</vt:lpwstr>
  </property>
</Properties>
</file>